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202300"/>
  <mc:AlternateContent xmlns:mc="http://schemas.openxmlformats.org/markup-compatibility/2006">
    <mc:Choice Requires="x15">
      <x15ac:absPath xmlns:x15ac="http://schemas.microsoft.com/office/spreadsheetml/2010/11/ac" url="/Users/Shreya/Downloads/"/>
    </mc:Choice>
  </mc:AlternateContent>
  <xr:revisionPtr revIDLastSave="0" documentId="13_ncr:1_{3D6DFAB0-0AE8-BB47-8557-0F33D8DEF512}" xr6:coauthVersionLast="47" xr6:coauthVersionMax="47" xr10:uidLastSave="{00000000-0000-0000-0000-000000000000}"/>
  <bookViews>
    <workbookView xWindow="380" yWindow="620" windowWidth="28040" windowHeight="15880" xr2:uid="{6A2140F8-F306-654A-BE8F-7FF902A2727D}"/>
  </bookViews>
  <sheets>
    <sheet name="dashboard" sheetId="3" r:id="rId1"/>
    <sheet name="pivot_table" sheetId="2" r:id="rId2"/>
    <sheet name="hospital_patient_treatment_data" sheetId="1" r:id="rId3"/>
  </sheets>
  <definedNames>
    <definedName name="_xlchart.v1.0" hidden="1">pivot_table!$A$43:$A$49</definedName>
    <definedName name="_xlchart.v1.1" hidden="1">pivot_table!$B$43:$B$49</definedName>
    <definedName name="_xlchart.v1.4" hidden="1">pivot_table!$A$43:$A$49</definedName>
    <definedName name="_xlchart.v1.5" hidden="1">pivot_table!$B$43:$B$49</definedName>
    <definedName name="_xlchart.v2.2" hidden="1">pivot_table!$A$30:$A$33</definedName>
    <definedName name="_xlchart.v2.3" hidden="1">pivot_table!$B$30:$B$33</definedName>
    <definedName name="_xlchart.v2.6" hidden="1">pivot_table!$A$30:$A$33</definedName>
    <definedName name="_xlchart.v2.7" hidden="1">pivot_table!$B$30:$B$33</definedName>
    <definedName name="Slicer_Department">#N/A</definedName>
    <definedName name="Slicer_Doctor_Name">#N/A</definedName>
    <definedName name="Slicer_Gender">#N/A</definedName>
    <definedName name="Slicer_Treatment_Typ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<sst xmlns="http://schemas.openxmlformats.org/spreadsheetml/2006/main" count="1076" uniqueCount="248">
  <si>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</si>
  <si>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</si>
  <si>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</si>
  <si>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</si>
  <si>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</si>
  <si>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</si>
  <si>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</si>
  <si>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</si>
  <si>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</si>
  <si>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</si>
  <si>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</si>
  <si>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</si>
  <si>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</si>
  <si>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</si>
  <si>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</si>
  <si>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</si>
  <si>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</si>
  <si>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</si>
  <si>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</si>
  <si>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</si>
  <si>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</si>
  <si>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</si>
  <si>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</si>
  <si>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</si>
  <si>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</si>
  <si>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</si>
  <si>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</si>
  <si>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</si>
  <si>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</si>
  <si>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</si>
  <si>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</si>
  <si>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</si>
  <si>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</si>
  <si>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</si>
  <si>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</si>
  <si>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</si>
  <si>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</si>
  <si>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</si>
  <si>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</si>
  <si>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</si>
  <si>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</si>
  <si>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</si>
  <si>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</si>
  <si>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</si>
  <si>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</si>
  <si>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</si>
  <si>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</si>
  <si>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</si>
  <si>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</si>
  <si>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</si>
  <si>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</si>
  <si>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</si>
  <si>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</si>
  <si>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</si>
  <si>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</si>
  <si>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</si>
  <si>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</si>
  <si>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</si>
  <si>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</si>
  <si>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</si>
  <si>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</si>
  <si>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</si>
  <si>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</si>
  <si>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</si>
  <si>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</si>
  <si>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</si>
  <si>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</si>
  <si>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</si>
  <si>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</si>
  <si>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</si>
  <si>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</si>
  <si>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</si>
  <si>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</si>
  <si>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</si>
  <si>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</si>
  <si>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</si>
  <si>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</si>
  <si>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</si>
  <si>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</si>
  <si>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</si>
  <si>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</si>
  <si>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</si>
  <si>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</si>
  <si>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</si>
  <si>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</si>
  <si>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</si>
  <si>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</si>
  <si>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</si>
  <si>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</si>
  <si>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</si>
  <si>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</si>
  <si>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</si>
  <si>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</si>
  <si>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</si>
  <si>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</si>
  <si>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</si>
  <si>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</si>
  <si>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</si>
  <si>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</si>
  <si>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</si>
  <si>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</si>
  <si>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</si>
  <si>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</si>
  <si>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</si>
  <si>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</si>
  <si>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</si>
  <si>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</si>
  <si>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</si>
  <si>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</si>
  <si>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</si>
  <si>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</si>
  <si>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</si>
  <si>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</si>
  <si>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</si>
  <si>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</si>
  <si>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</si>
  <si>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</si>
  <si>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</si>
  <si>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</si>
  <si>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</si>
  <si>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</si>
  <si>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</si>
  <si>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</si>
  <si>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</si>
  <si>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</si>
  <si>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</si>
  <si>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</si>
  <si>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</si>
  <si>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</si>
  <si>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</si>
  <si>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</si>
  <si>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</si>
  <si>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</si>
  <si>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</si>
  <si>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</si>
  <si>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</si>
  <si>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</si>
  <si>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</si>
  <si>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</si>
  <si>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</si>
  <si>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</si>
  <si>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</si>
  <si>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</si>
  <si>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</si>
  <si>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</si>
  <si>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</si>
  <si>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</si>
  <si>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</si>
  <si>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</si>
  <si>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</si>
  <si>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</si>
  <si>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</si>
  <si>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</si>
  <si>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</si>
  <si>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</si>
  <si>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</si>
  <si>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</si>
  <si>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</si>
  <si>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</si>
  <si>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</si>
  <si>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</si>
  <si>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</si>
  <si>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</si>
  <si>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</si>
  <si>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</si>
  <si>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</si>
  <si>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</si>
  <si>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</si>
  <si>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</si>
  <si>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</si>
  <si>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</si>
  <si>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</si>
  <si>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</si>
  <si>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</si>
  <si>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</si>
  <si>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</si>
  <si>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</si>
  <si>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</si>
  <si>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</si>
  <si>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</si>
  <si>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</si>
  <si>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</si>
  <si>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</si>
  <si>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</si>
  <si>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</si>
  <si>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</si>
  <si>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</si>
  <si>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</si>
  <si>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</si>
  <si>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</si>
  <si>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</si>
  <si>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</si>
  <si>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</si>
  <si>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</si>
  <si>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</si>
  <si>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</si>
  <si>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</si>
  <si>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</si>
  <si>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</si>
  <si>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</si>
  <si>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</si>
  <si>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</si>
  <si>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</si>
  <si>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</si>
  <si>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</si>
  <si>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</si>
  <si>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</si>
  <si>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</si>
  <si>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</si>
  <si>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</si>
  <si>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</si>
  <si>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</si>
  <si>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</si>
  <si>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</si>
  <si>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</si>
  <si>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</si>
  <si>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</si>
  <si>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</si>
  <si>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</si>
  <si>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</si>
  <si>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</si>
  <si>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</si>
  <si>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</si>
  <si>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</si>
  <si>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</si>
  <si>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</si>
  <si>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</si>
  <si>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Row Labels</t>
  </si>
  <si>
    <t>Grand Total</t>
  </si>
  <si>
    <t>Patients Count</t>
  </si>
  <si>
    <t>Average of Treatment Cost</t>
  </si>
  <si>
    <t>Average of Age</t>
  </si>
  <si>
    <t>Average of Hospital Stay (Days)</t>
  </si>
  <si>
    <t>Average of Recovery Score</t>
  </si>
  <si>
    <t>Min Recovery Score</t>
  </si>
  <si>
    <t>Avg Recovery Score</t>
  </si>
  <si>
    <t>StdDev Recovery Score</t>
  </si>
  <si>
    <t>Cost Category</t>
  </si>
  <si>
    <t>High Cost</t>
  </si>
  <si>
    <t>Low Cost</t>
  </si>
  <si>
    <t>Age Group</t>
  </si>
  <si>
    <t>Adult</t>
  </si>
  <si>
    <t>Child</t>
  </si>
  <si>
    <t>Infant/Toddler</t>
  </si>
  <si>
    <t>Middle aged</t>
  </si>
  <si>
    <t>Senior/Elderly</t>
  </si>
  <si>
    <t>Teenager</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</si>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</sst>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alignment horizontal="left" vertical="center"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7"/>
    </mc:Choice>
    <mc:Fallback>
      <c:style val="7"/>
    </mc:Fallback>
  </mc:AlternateContent>
  <c:pivotSource>
    <c:name>[hospital_patient_treatment_dataset.xlsx]pivot_table!PivotTable2</c:name>
    <c:fmtId val="3"/>
  </c:pivotSource>
  <c:chart>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pivot_table!$B$6</c:f>
              <c:strCache>
                <c:ptCount val="1"/>
                <c:pt idx="0">
                  <c:v>Avg Recovery Score</c:v>
                </c:pt>
              </c:strCache>
            </c:strRef>
          </c:tx>
          <c:spPr>
            <a:solidFill>
              <a:schemeClr val="accent5">
                <a:shade val="65000"/>
              </a:schemeClr>
            </a:solidFill>
            <a:ln>
              <a:noFill/>
            </a:ln>
            <a:effectLst/>
            <a:sp3d/>
          </c:spPr>
          <c:invertIfNegative val="0"/>
          <c:cat>
            <c:strRef>
              <c:f>pivot_table!$A$7:$A$13</c:f>
              <c:strCache>
                <c:ptCount val="6"/>
                <c:pt idx="0">
                  <c:v>Cardiology</c:v>
                </c:pt>
                <c:pt idx="1">
                  <c:v>Gastroenterology</c:v>
                </c:pt>
                <c:pt idx="2">
                  <c:v>Neurology</c:v>
                </c:pt>
                <c:pt idx="3">
                  <c:v>Oncology</c:v>
                </c:pt>
                <c:pt idx="4">
                  <c:v>Orthopedics</c:v>
                </c:pt>
                <c:pt idx="5">
                  <c:v>Pediatrics</c:v>
                </c:pt>
              </c:strCache>
            </c:strRef>
          </c:cat>
          <c:val>
            <c:numRef>
              <c:f>pivot_table!$B$7:$B$13</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1DAD-5B4D-B346-3CB2418F9A8A}"/>
            </c:ext>
          </c:extLst>
        </c:ser>
        <c:ser>
          <c:idx val="1"/>
          <c:order val="1"/>
          <c:tx>
            <c:strRef>
              <c:f>pivot_table!$C$6</c:f>
              <c:strCache>
                <c:ptCount val="1"/>
                <c:pt idx="0">
                  <c:v>Min Recovery Score</c:v>
                </c:pt>
              </c:strCache>
            </c:strRef>
          </c:tx>
          <c:spPr>
            <a:solidFill>
              <a:schemeClr val="accent5"/>
            </a:solidFill>
            <a:ln>
              <a:noFill/>
            </a:ln>
            <a:effectLst/>
            <a:sp3d/>
          </c:spPr>
          <c:invertIfNegative val="0"/>
          <c:cat>
            <c:strRef>
              <c:f>pivot_table!$A$7:$A$13</c:f>
              <c:strCache>
                <c:ptCount val="6"/>
                <c:pt idx="0">
                  <c:v>Cardiology</c:v>
                </c:pt>
                <c:pt idx="1">
                  <c:v>Gastroenterology</c:v>
                </c:pt>
                <c:pt idx="2">
                  <c:v>Neurology</c:v>
                </c:pt>
                <c:pt idx="3">
                  <c:v>Oncology</c:v>
                </c:pt>
                <c:pt idx="4">
                  <c:v>Orthopedics</c:v>
                </c:pt>
                <c:pt idx="5">
                  <c:v>Pediatrics</c:v>
                </c:pt>
              </c:strCache>
            </c:strRef>
          </c:cat>
          <c:val>
            <c:numRef>
              <c:f>pivot_table!$C$7:$C$13</c:f>
              <c:numCache>
                <c:formatCode>0.00</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1-1DAD-5B4D-B346-3CB2418F9A8A}"/>
            </c:ext>
          </c:extLst>
        </c:ser>
        <c:ser>
          <c:idx val="2"/>
          <c:order val="2"/>
          <c:tx>
            <c:strRef>
              <c:f>pivot_table!$D$6</c:f>
              <c:strCache>
                <c:ptCount val="1"/>
                <c:pt idx="0">
                  <c:v>StdDev Recovery Score</c:v>
                </c:pt>
              </c:strCache>
            </c:strRef>
          </c:tx>
          <c:spPr>
            <a:solidFill>
              <a:schemeClr val="accent5">
                <a:tint val="65000"/>
              </a:schemeClr>
            </a:solidFill>
            <a:ln>
              <a:noFill/>
            </a:ln>
            <a:effectLst/>
            <a:sp3d/>
          </c:spPr>
          <c:invertIfNegative val="0"/>
          <c:cat>
            <c:strRef>
              <c:f>pivot_table!$A$7:$A$13</c:f>
              <c:strCache>
                <c:ptCount val="6"/>
                <c:pt idx="0">
                  <c:v>Cardiology</c:v>
                </c:pt>
                <c:pt idx="1">
                  <c:v>Gastroenterology</c:v>
                </c:pt>
                <c:pt idx="2">
                  <c:v>Neurology</c:v>
                </c:pt>
                <c:pt idx="3">
                  <c:v>Oncology</c:v>
                </c:pt>
                <c:pt idx="4">
                  <c:v>Orthopedics</c:v>
                </c:pt>
                <c:pt idx="5">
                  <c:v>Pediatrics</c:v>
                </c:pt>
              </c:strCache>
            </c:strRef>
          </c:cat>
          <c:val>
            <c:numRef>
              <c:f>pivot_table!$D$7:$D$13</c:f>
              <c:numCache>
                <c:formatCode>General</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2-1DAD-5B4D-B346-3CB2418F9A8A}"/>
            </c:ext>
          </c:extLst>
        </c:ser>
        <c:dLbls>
          <c:showLegendKey val="0"/>
          <c:showVal val="0"/>
          <c:showCatName val="0"/>
          <c:showSerName val="0"/>
          <c:showPercent val="0"/>
          <c:showBubbleSize val="0"/>
        </c:dLbls>
        <c:gapWidth val="150"/>
        <c:shape val="box"/>
        <c:axId val="1205416191"/>
        <c:axId val="1252820735"/>
        <c:axId val="0"/>
      </c:bar3DChart>
      <c:catAx>
        <c:axId val="1205416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20735"/>
        <c:crosses val="autoZero"/>
        <c:auto val="1"/>
        <c:lblAlgn val="ctr"/>
        <c:lblOffset val="100"/>
        <c:noMultiLvlLbl val="0"/>
      </c:catAx>
      <c:valAx>
        <c:axId val="1252820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41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[hospital_patient_treatment_dataset.xlsx]pivot_table!PivotTable4</c:name>
    <c:fmtId val="8"/>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pivot_table!$B$15</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pivot_table!$A$16:$A$21</c:f>
              <c:strCache>
                <c:ptCount val="5"/>
                <c:pt idx="0">
                  <c:v>Dr. A. Sharma</c:v>
                </c:pt>
                <c:pt idx="1">
                  <c:v>Dr. L. Khan</c:v>
                </c:pt>
                <c:pt idx="2">
                  <c:v>Dr. M. Patel</c:v>
                </c:pt>
                <c:pt idx="3">
                  <c:v>Dr. R. Singh</c:v>
                </c:pt>
                <c:pt idx="4">
                  <c:v>Dr. T. Mehta</c:v>
                </c:pt>
              </c:strCache>
            </c:strRef>
          </c:cat>
          <c:val>
            <c:numRef>
              <c:f>pivot_table!$B$16:$B$21</c:f>
              <c:numCache>
                <c:formatCode>0.00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0-044A-9548-B53E-3BB971156CEB}"/>
            </c:ext>
          </c:extLst>
        </c:ser>
        <c:dLbls>
          <c:showLegendKey val="0"/>
          <c:showVal val="0"/>
          <c:showCatName val="0"/>
          <c:showSerName val="0"/>
          <c:showPercent val="0"/>
          <c:showBubbleSize val="0"/>
        </c:dLbls>
        <c:gapWidth val="150"/>
        <c:shape val="box"/>
        <c:axId val="1204566015"/>
        <c:axId val="1302284031"/>
        <c:axId val="0"/>
      </c:bar3DChart>
      <c:catAx>
        <c:axId val="12045660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2284031"/>
        <c:crosses val="autoZero"/>
        <c:auto val="1"/>
        <c:lblAlgn val="ctr"/>
        <c:lblOffset val="100"/>
        <c:noMultiLvlLbl val="0"/>
      </c:catAx>
      <c:valAx>
        <c:axId val="1302284031"/>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456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[hospital_patient_treatment_dataset.xlsx]pivot_table!PivotTable5</c:name>
    <c:fmtId val="12"/>
  </c:pivotSource>
  <c:chart>
    <c:title>
      <c:tx>
        <c:rich>
          <a:bodyPr rot="0" spcFirstLastPara="1" vertOverflow="ellipsis" vert="horz" wrap="square" anchor="ctr" anchorCtr="1"/>
          <a:lstStyle/>
          <a:p>
            <a:pPr>
              <a:defRPr sz="1800" b="1" i="0" u="none" strike="noStrike" kern="1200" cap="all" spc="50" baseline="0">
                <a:solidFill>
                  <a:schemeClr val="accent5">
                    <a:lumMod val="75000"/>
                  </a:schemeClr>
                </a:solidFill>
                <a:latin typeface="+mn-lt"/>
                <a:ea typeface="+mn-ea"/>
                <a:cs typeface="+mn-cs"/>
              </a:defRPr>
            </a:pPr>
            <a:r>
              <a:rPr lang="en-US" sz="1800">
                <a:solidFill>
                  <a:schemeClr val="accent5">
                    <a:lumMod val="75000"/>
                  </a:schemeClr>
                </a:solidFill>
              </a:rPr>
              <a:t>Avg</a:t>
            </a:r>
            <a:r>
              <a:rPr lang="en-US" sz="1800" baseline="0">
                <a:solidFill>
                  <a:schemeClr val="accent5">
                    <a:lumMod val="75000"/>
                  </a:schemeClr>
                </a:solidFill>
              </a:rPr>
              <a:t> recovery score</a:t>
            </a:r>
            <a:endParaRPr lang="en-US" sz="1800">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5">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pivot_table!$B$23</c:f>
              <c:strCache>
                <c:ptCount val="1"/>
                <c:pt idx="0">
                  <c:v>Total</c:v>
                </c:pt>
              </c:strCache>
            </c:strRef>
          </c:tx>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A9C-2B43-BA6C-774E1068EC7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A9C-2B43-BA6C-774E1068EC73}"/>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A9C-2B43-BA6C-774E1068EC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pivot_table!$A$24:$A$27</c:f>
              <c:strCache>
                <c:ptCount val="3"/>
                <c:pt idx="0">
                  <c:v>Female</c:v>
                </c:pt>
                <c:pt idx="1">
                  <c:v>Male</c:v>
                </c:pt>
                <c:pt idx="2">
                  <c:v>Other</c:v>
                </c:pt>
              </c:strCache>
            </c:strRef>
          </c:cat>
          <c:val>
            <c:numRef>
              <c:f>pivot_table!$B$24:$B$27</c:f>
              <c:numCache>
                <c:formatCode>0.00</c:formatCode>
                <c:ptCount val="3"/>
                <c:pt idx="0">
                  <c:v>71.614035087719301</c:v>
                </c:pt>
                <c:pt idx="1">
                  <c:v>72.283950617283949</c:v>
                </c:pt>
                <c:pt idx="2">
                  <c:v>66.741935483870961</c:v>
                </c:pt>
              </c:numCache>
            </c:numRef>
          </c:val>
          <c:extLst>
            <c:ext xmlns:c16="http://schemas.microsoft.com/office/drawing/2014/chart" uri="{C3380CC4-5D6E-409C-BE32-E72D297353CC}">
              <c16:uniqueId val="{00000006-2A9C-2B43-BA6C-774E1068EC7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2836623616897687"/>
          <c:y val="0.40691260051865552"/>
          <c:w val="0.11806234279213403"/>
          <c:h val="0.19759757649835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[hospital_patient_treatment_dataset.xlsx]pivot_table!PivotTable10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pivot_table!$B$36</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17A-2740-BB4D-AE4A37BC34D7}"/>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17A-2740-BB4D-AE4A37BC34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pivot_table!$A$37:$A$39</c:f>
              <c:strCache>
                <c:ptCount val="2"/>
                <c:pt idx="0">
                  <c:v>High Cost</c:v>
                </c:pt>
                <c:pt idx="1">
                  <c:v>Low Cost</c:v>
                </c:pt>
              </c:strCache>
            </c:strRef>
          </c:cat>
          <c:val>
            <c:numRef>
              <c:f>pivot_table!$B$37:$B$39</c:f>
              <c:numCache>
                <c:formatCode>0.00</c:formatCode>
                <c:ptCount val="2"/>
                <c:pt idx="0">
                  <c:v>72.254716981132077</c:v>
                </c:pt>
                <c:pt idx="1">
                  <c:v>68.255319148936167</c:v>
                </c:pt>
              </c:numCache>
            </c:numRef>
          </c:val>
          <c:extLst>
            <c:ext xmlns:c16="http://schemas.microsoft.com/office/drawing/2014/chart" uri="{C3380CC4-5D6E-409C-BE32-E72D297353CC}">
              <c16:uniqueId val="{00000004-E17A-2740-BB4D-AE4A37BC34D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[hospital_patient_treatment_dataset.xlsx]pivot_table!PivotTable2</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pivot_table!$B$6</c:f>
              <c:strCache>
                <c:ptCount val="1"/>
                <c:pt idx="0">
                  <c:v>Avg Recovery Score</c:v>
                </c:pt>
              </c:strCache>
            </c:strRef>
          </c:tx>
          <c:spPr>
            <a:solidFill>
              <a:schemeClr val="accent1"/>
            </a:solidFill>
            <a:ln>
              <a:noFill/>
            </a:ln>
            <a:effectLst/>
            <a:sp3d/>
          </c:spPr>
          <c:invertIfNegative val="0"/>
          <c:cat>
            <c:strRef>
              <c:f>pivot_table!$A$7:$A$13</c:f>
              <c:strCache>
                <c:ptCount val="6"/>
                <c:pt idx="0">
                  <c:v>Cardiology</c:v>
                </c:pt>
                <c:pt idx="1">
                  <c:v>Gastroenterology</c:v>
                </c:pt>
                <c:pt idx="2">
                  <c:v>Neurology</c:v>
                </c:pt>
                <c:pt idx="3">
                  <c:v>Oncology</c:v>
                </c:pt>
                <c:pt idx="4">
                  <c:v>Orthopedics</c:v>
                </c:pt>
                <c:pt idx="5">
                  <c:v>Pediatrics</c:v>
                </c:pt>
              </c:strCache>
            </c:strRef>
          </c:cat>
          <c:val>
            <c:numRef>
              <c:f>pivot_table!$B$7:$B$13</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65D8-C74D-BBA6-9380B489EFFA}"/>
            </c:ext>
          </c:extLst>
        </c:ser>
        <c:ser>
          <c:idx val="1"/>
          <c:order val="1"/>
          <c:tx>
            <c:strRef>
              <c:f>pivot_table!$C$6</c:f>
              <c:strCache>
                <c:ptCount val="1"/>
                <c:pt idx="0">
                  <c:v>Min Recovery Score</c:v>
                </c:pt>
              </c:strCache>
            </c:strRef>
          </c:tx>
          <c:spPr>
            <a:solidFill>
              <a:schemeClr val="accent2"/>
            </a:solidFill>
            <a:ln>
              <a:noFill/>
            </a:ln>
            <a:effectLst/>
            <a:sp3d/>
          </c:spPr>
          <c:invertIfNegative val="0"/>
          <c:cat>
            <c:strRef>
              <c:f>pivot_table!$A$7:$A$13</c:f>
              <c:strCache>
                <c:ptCount val="6"/>
                <c:pt idx="0">
                  <c:v>Cardiology</c:v>
                </c:pt>
                <c:pt idx="1">
                  <c:v>Gastroenterology</c:v>
                </c:pt>
                <c:pt idx="2">
                  <c:v>Neurology</c:v>
                </c:pt>
                <c:pt idx="3">
                  <c:v>Oncology</c:v>
                </c:pt>
                <c:pt idx="4">
                  <c:v>Orthopedics</c:v>
                </c:pt>
                <c:pt idx="5">
                  <c:v>Pediatrics</c:v>
                </c:pt>
              </c:strCache>
            </c:strRef>
          </c:cat>
          <c:val>
            <c:numRef>
              <c:f>pivot_table!$C$7:$C$13</c:f>
              <c:numCache>
                <c:formatCode>0.00</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1-65D8-C74D-BBA6-9380B489EFFA}"/>
            </c:ext>
          </c:extLst>
        </c:ser>
        <c:ser>
          <c:idx val="2"/>
          <c:order val="2"/>
          <c:tx>
            <c:strRef>
              <c:f>pivot_table!$D$6</c:f>
              <c:strCache>
                <c:ptCount val="1"/>
                <c:pt idx="0">
                  <c:v>StdDev Recovery Score</c:v>
                </c:pt>
              </c:strCache>
            </c:strRef>
          </c:tx>
          <c:spPr>
            <a:solidFill>
              <a:schemeClr val="accent3"/>
            </a:solidFill>
            <a:ln>
              <a:noFill/>
            </a:ln>
            <a:effectLst/>
            <a:sp3d/>
          </c:spPr>
          <c:invertIfNegative val="0"/>
          <c:cat>
            <c:strRef>
              <c:f>pivot_table!$A$7:$A$13</c:f>
              <c:strCache>
                <c:ptCount val="6"/>
                <c:pt idx="0">
                  <c:v>Cardiology</c:v>
                </c:pt>
                <c:pt idx="1">
                  <c:v>Gastroenterology</c:v>
                </c:pt>
                <c:pt idx="2">
                  <c:v>Neurology</c:v>
                </c:pt>
                <c:pt idx="3">
                  <c:v>Oncology</c:v>
                </c:pt>
                <c:pt idx="4">
                  <c:v>Orthopedics</c:v>
                </c:pt>
                <c:pt idx="5">
                  <c:v>Pediatrics</c:v>
                </c:pt>
              </c:strCache>
            </c:strRef>
          </c:cat>
          <c:val>
            <c:numRef>
              <c:f>pivot_table!$D$7:$D$13</c:f>
              <c:numCache>
                <c:formatCode>General</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2-65D8-C74D-BBA6-9380B489EFFA}"/>
            </c:ext>
          </c:extLst>
        </c:ser>
        <c:dLbls>
          <c:showLegendKey val="0"/>
          <c:showVal val="0"/>
          <c:showCatName val="0"/>
          <c:showSerName val="0"/>
          <c:showPercent val="0"/>
          <c:showBubbleSize val="0"/>
        </c:dLbls>
        <c:gapWidth val="219"/>
        <c:shape val="box"/>
        <c:axId val="1205416191"/>
        <c:axId val="1252820735"/>
        <c:axId val="0"/>
      </c:bar3DChart>
      <c:catAx>
        <c:axId val="120541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20735"/>
        <c:crosses val="autoZero"/>
        <c:auto val="1"/>
        <c:lblAlgn val="ctr"/>
        <c:lblOffset val="100"/>
        <c:noMultiLvlLbl val="0"/>
      </c:catAx>
      <c:valAx>
        <c:axId val="1252820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41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[hospital_patient_treatment_dataset.xlsx]pivot_table!PivotTable4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pivot_table!$B$15</c:f>
              <c:strCache>
                <c:ptCount val="1"/>
                <c:pt idx="0">
                  <c:v>Total</c:v>
                </c:pt>
              </c:strCache>
            </c:strRef>
          </c:tx>
          <c:spPr>
            <a:solidFill>
              <a:schemeClr val="accent1"/>
            </a:solidFill>
            <a:ln>
              <a:noFill/>
            </a:ln>
            <a:effectLst/>
            <a:sp3d/>
          </c:spPr>
          <c:invertIfNegative val="0"/>
          <c:cat>
            <c:strRef>
              <c:f>pivot_table!$A$16:$A$21</c:f>
              <c:strCache>
                <c:ptCount val="5"/>
                <c:pt idx="0">
                  <c:v>Dr. A. Sharma</c:v>
                </c:pt>
                <c:pt idx="1">
                  <c:v>Dr. L. Khan</c:v>
                </c:pt>
                <c:pt idx="2">
                  <c:v>Dr. M. Patel</c:v>
                </c:pt>
                <c:pt idx="3">
                  <c:v>Dr. R. Singh</c:v>
                </c:pt>
                <c:pt idx="4">
                  <c:v>Dr. T. Mehta</c:v>
                </c:pt>
              </c:strCache>
            </c:strRef>
          </c:cat>
          <c:val>
            <c:numRef>
              <c:f>pivot_table!$B$16:$B$21</c:f>
              <c:numCache>
                <c:formatCode>0.00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0-10F3-914F-8934-A90640B8E69A}"/>
            </c:ext>
          </c:extLst>
        </c:ser>
        <c:dLbls>
          <c:showLegendKey val="0"/>
          <c:showVal val="0"/>
          <c:showCatName val="0"/>
          <c:showSerName val="0"/>
          <c:showPercent val="0"/>
          <c:showBubbleSize val="0"/>
        </c:dLbls>
        <c:gapWidth val="219"/>
        <c:shape val="box"/>
        <c:axId val="1204566015"/>
        <c:axId val="1302284031"/>
        <c:axId val="0"/>
      </c:bar3DChart>
      <c:catAx>
        <c:axId val="120456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284031"/>
        <c:crosses val="autoZero"/>
        <c:auto val="1"/>
        <c:lblAlgn val="ctr"/>
        <c:lblOffset val="100"/>
        <c:noMultiLvlLbl val="0"/>
      </c:catAx>
      <c:valAx>
        <c:axId val="13022840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6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[hospital_patient_treatment_dataset.xlsx]pivot_table!PivotTable5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pivot_table!$B$23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CE8-8441-A1C8-FF4EC515D6B8}"/>
              </c:ext>
            </c:extLst>
          </c:dPt>
          <c:dPt>
            <c:idx val="1"/>
            <c:bubble3D val="0"/>
            <c:spPr>
              <a:solidFill>
                <a:schemeClr val="accent2"/>
              </a:solidFill>
              <a:ln>
                <a:noFill/>
              </a:ln>
              <a:effectLst/>
            </c:spPr>
            <c:extLst>
              <c:ext xmlns:c16="http://schemas.microsoft.com/office/drawing/2014/chart" uri="{C3380CC4-5D6E-409C-BE32-E72D297353CC}">
                <c16:uniqueId val="{00000003-ECE8-8441-A1C8-FF4EC515D6B8}"/>
              </c:ext>
            </c:extLst>
          </c:dPt>
          <c:dPt>
            <c:idx val="2"/>
            <c:bubble3D val="0"/>
            <c:spPr>
              <a:solidFill>
                <a:schemeClr val="accent3"/>
              </a:solidFill>
              <a:ln>
                <a:noFill/>
              </a:ln>
              <a:effectLst/>
            </c:spPr>
            <c:extLst>
              <c:ext xmlns:c16="http://schemas.microsoft.com/office/drawing/2014/chart" uri="{C3380CC4-5D6E-409C-BE32-E72D297353CC}">
                <c16:uniqueId val="{00000005-ECE8-8441-A1C8-FF4EC515D6B8}"/>
              </c:ext>
            </c:extLst>
          </c:dPt>
          <c:cat>
            <c:strRef>
              <c:f>pivot_table!$A$24:$A$27</c:f>
              <c:strCache>
                <c:ptCount val="3"/>
                <c:pt idx="0">
                  <c:v>Female</c:v>
                </c:pt>
                <c:pt idx="1">
                  <c:v>Male</c:v>
                </c:pt>
                <c:pt idx="2">
                  <c:v>Other</c:v>
                </c:pt>
              </c:strCache>
            </c:strRef>
          </c:cat>
          <c:val>
            <c:numRef>
              <c:f>pivot_table!$B$24:$B$27</c:f>
              <c:numCache>
                <c:formatCode>0.00</c:formatCode>
                <c:ptCount val="3"/>
                <c:pt idx="0">
                  <c:v>71.614035087719301</c:v>
                </c:pt>
                <c:pt idx="1">
                  <c:v>72.283950617283949</c:v>
                </c:pt>
                <c:pt idx="2">
                  <c:v>66.741935483870961</c:v>
                </c:pt>
              </c:numCache>
            </c:numRef>
          </c:val>
          <c:extLst>
            <c:ext xmlns:c16="http://schemas.microsoft.com/office/drawing/2014/chart" uri="{C3380CC4-5D6E-409C-BE32-E72D297353CC}">
              <c16:uniqueId val="{00000000-92E7-2540-BD44-5FF60D55A53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[hospital_patient_treatment_dataset.xlsx]pivot_table!PivotTable4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pivot_table!$B$15</c:f>
              <c:strCache>
                <c:ptCount val="1"/>
                <c:pt idx="0">
                  <c:v>Total</c:v>
                </c:pt>
              </c:strCache>
            </c:strRef>
          </c:tx>
          <c:spPr>
            <a:solidFill>
              <a:schemeClr val="accent1"/>
            </a:solidFill>
            <a:ln>
              <a:noFill/>
            </a:ln>
            <a:effectLst/>
            <a:sp3d/>
          </c:spPr>
          <c:invertIfNegative val="0"/>
          <c:cat>
            <c:strRef>
              <c:f>pivot_table!$A$16:$A$21</c:f>
              <c:strCache>
                <c:ptCount val="5"/>
                <c:pt idx="0">
                  <c:v>Dr. A. Sharma</c:v>
                </c:pt>
                <c:pt idx="1">
                  <c:v>Dr. L. Khan</c:v>
                </c:pt>
                <c:pt idx="2">
                  <c:v>Dr. M. Patel</c:v>
                </c:pt>
                <c:pt idx="3">
                  <c:v>Dr. R. Singh</c:v>
                </c:pt>
                <c:pt idx="4">
                  <c:v>Dr. T. Mehta</c:v>
                </c:pt>
              </c:strCache>
            </c:strRef>
          </c:cat>
          <c:val>
            <c:numRef>
              <c:f>pivot_table!$B$16:$B$21</c:f>
              <c:numCache>
                <c:formatCode>0.00</c:formatCode>
                <c:ptCount val="5"/>
                <c:pt idx="0">
                  <c:v>70.2</c:v>
                </c:pt>
                <c:pt idx="1">
                  <c:v>72.521739130434781</c:v>
                </c:pt>
                <c:pt idx="2">
                  <c:v>73.243902439024396</c:v>
                </c:pt>
                <c:pt idx="3">
                  <c:v>67.75555555555556</c:v>
                </c:pt>
                <c:pt idx="4">
                  <c:v>67.921052631578945</c:v>
                </c:pt>
              </c:numCache>
            </c:numRef>
          </c:val>
          <c:extLst>
            <c:ext xmlns:c16="http://schemas.microsoft.com/office/drawing/2014/chart" uri="{C3380CC4-5D6E-409C-BE32-E72D297353CC}">
              <c16:uniqueId val="{00000000-8B35-B34D-934B-2F72C8E39278}"/>
            </c:ext>
          </c:extLst>
        </c:ser>
        <c:dLbls>
          <c:showLegendKey val="0"/>
          <c:showVal val="0"/>
          <c:showCatName val="0"/>
          <c:showSerName val="0"/>
          <c:showPercent val="0"/>
          <c:showBubbleSize val="0"/>
        </c:dLbls>
        <c:gapWidth val="219"/>
        <c:shape val="box"/>
        <c:axId val="1204566015"/>
        <c:axId val="1302284031"/>
        <c:axId val="0"/>
      </c:bar3DChart>
      <c:catAx>
        <c:axId val="120456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284031"/>
        <c:crosses val="autoZero"/>
        <c:auto val="1"/>
        <c:lblAlgn val="ctr"/>
        <c:lblOffset val="100"/>
        <c:noMultiLvlLbl val="0"/>
      </c:catAx>
      <c:valAx>
        <c:axId val="13022840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6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[hospital_patient_treatment_dataset.xlsx]pivot_table!PivotTable10</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17-C54E-B19B-AC07E9A522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17-C54E-B19B-AC07E9A522EC}"/>
              </c:ext>
            </c:extLst>
          </c:dPt>
          <c:cat>
            <c:strRef>
              <c:f>pivot_table!$A$37:$A$39</c:f>
              <c:strCache>
                <c:ptCount val="2"/>
                <c:pt idx="0">
                  <c:v>High Cost</c:v>
                </c:pt>
                <c:pt idx="1">
                  <c:v>Low Cost</c:v>
                </c:pt>
              </c:strCache>
            </c:strRef>
          </c:cat>
          <c:val>
            <c:numRef>
              <c:f>pivot_table!$B$37:$B$39</c:f>
              <c:numCache>
                <c:formatCode>0.00</c:formatCode>
                <c:ptCount val="2"/>
                <c:pt idx="0">
                  <c:v>72.254716981132077</c:v>
                </c:pt>
                <c:pt idx="1">
                  <c:v>68.255319148936167</c:v>
                </c:pt>
              </c:numCache>
            </c:numRef>
          </c:val>
          <c:extLst>
            <c:ext xmlns:c16="http://schemas.microsoft.com/office/drawing/2014/chart" uri="{C3380CC4-5D6E-409C-BE32-E72D297353CC}">
              <c16:uniqueId val="{00000000-460A-E84E-B251-D60CC5B6BE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Avg Recovery Score by Treatment Type</cx:v>
        </cx:txData>
      </cx:tx>
      <cx:txPr>
        <a:bodyPr spcFirstLastPara="1" vertOverflow="ellipsis" horzOverflow="overflow" wrap="square" lIns="0" tIns="0" rIns="0" bIns="0" anchor="ctr" anchorCtr="1"/>
        <a:lstStyle/>
        <a:p>
          <a:pPr algn="ctr" rtl="0">
            <a:defRPr/>
          </a:pPr>
          <a:r>
            <a:rPr lang="en-GB" sz="1800" b="1" i="0" u="none" strike="noStrike" baseline="0">
              <a:solidFill>
                <a:schemeClr val="accent5">
                  <a:lumMod val="75000"/>
                </a:schemeClr>
              </a:solidFill>
              <a:latin typeface="Aptos Narrow" panose="02110004020202020204"/>
            </a:rPr>
            <a:t>Avg Recovery Score by Treatment Type</a:t>
          </a:r>
        </a:p>
      </cx:txPr>
    </cx:title>
    <cx:plotArea>
      <cx:plotAreaRegion>
        <cx:series layoutId="funnel" uniqueId="{00000000-8E86-7242-B3D0-233730DBA1D5}">
          <cx:tx>
            <cx:txData>
              <cx:f/>
              <cx:v>Treatment Type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avg recovery score by age group</cx:v>
        </cx:txData>
      </cx:tx>
      <cx:txPr>
        <a:bodyPr spcFirstLastPara="1" vertOverflow="ellipsis" horzOverflow="overflow" wrap="square" lIns="0" tIns="0" rIns="0" bIns="0" anchor="ctr" anchorCtr="1"/>
        <a:lstStyle/>
        <a:p>
          <a:pPr algn="ctr" rtl="0">
            <a:defRPr/>
          </a:pPr>
          <a:r>
            <a:rPr lang="en-GB" sz="1600" b="1" i="0" u="none" strike="noStrike" cap="all" baseline="0">
              <a:solidFill>
                <a:schemeClr val="accent5">
                  <a:lumMod val="75000"/>
                </a:schemeClr>
              </a:solidFill>
              <a:latin typeface="Aptos Narrow" panose="02110004020202020204"/>
            </a:rPr>
            <a:t>avg recovery score by age group</a:t>
          </a:r>
        </a:p>
      </cx:txPr>
    </cx:title>
    <cx:plotArea>
      <cx:plotAreaRegion>
        <cx:series layoutId="treemap" uniqueId="{00000001-C8BC-AC4D-AD86-BF955433CA95}">
          <cx:tx>
            <cx:txData>
              <cx:f/>
              <cx:v>Age Group </cx:v>
            </cx:txData>
          </cx:tx>
          <cx:dataLabels pos="ctr">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plotArea>
      <cx:plotAreaRegion>
        <cx:series layoutId="funnel" uniqueId="{00000000-8E86-7242-B3D0-233730DBA1D5}">
          <cx:tx>
            <cx:txData>
              <cx:f/>
              <cx:v>Treatment Type </cx:v>
            </cx:txData>
          </cx:tx>
          <cx:dataId val="0"/>
        </cx:series>
      </cx:plotAreaRegion>
      <cx:axis id="0">
        <cx:cat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plotArea>
      <cx:plotAreaRegion>
        <cx:series layoutId="treemap" uniqueId="{00000001-C8BC-AC4D-AD86-BF955433CA95}">
          <cx:tx>
            <cx:txData>
              <cx:f/>
              <cx:v>Age Group </cx:v>
            </cx:txData>
          </cx:tx>
          <cx:dataId val="0"/>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6" Type="http://schemas.microsoft.com/office/2014/relationships/chartEx" Target="../charts/chartEx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4.xml"/><Relationship Id="rId15" Type="http://schemas.openxmlformats.org/officeDocument/2006/relationships/image" Target="../media/image10.svg"/><Relationship Id="rId10" Type="http://schemas.openxmlformats.org/officeDocument/2006/relationships/image" Target="../media/image5.png"/><Relationship Id="rId4" Type="http://schemas.microsoft.com/office/2014/relationships/chartEx" Target="../charts/chartEx1.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microsoft.com/office/2014/relationships/chartEx" Target="../charts/chartEx4.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microsoft.com/office/2014/relationships/chartEx" Target="../charts/chartEx3.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516466</xdr:colOff>
      <xdr:row>2</xdr:row>
      <xdr:rowOff>110066</xdr:rowOff>
    </xdr:from>
    <xdr:to>
      <xdr:col>20</xdr:col>
      <xdr:colOff>554566</xdr:colOff>
      <xdr:row>7</xdr:row>
      <xdr:rowOff>71966</xdr:rowOff>
    </xdr:to>
    <xdr:sp macro="" textlink="">
      <xdr:nvSpPr>
        <xdr:cNvPr id="2" name="Rounded Rectangle 1">
          <a:extLst>
            <a:ext uri="{FF2B5EF4-FFF2-40B4-BE49-F238E27FC236}">
              <a16:creationId xmlns:a16="http://schemas.microsoft.com/office/drawing/2014/main" id="{F8E2F3B9-96F7-AAD1-6710-8AFE2D32074C}"/>
            </a:ext>
          </a:extLst>
        </xdr:cNvPr>
        <xdr:cNvSpPr/>
      </xdr:nvSpPr>
      <xdr:spPr>
        <a:xfrm>
          <a:off x="2175933" y="516466"/>
          <a:ext cx="14973300" cy="977900"/>
        </a:xfrm>
        <a:prstGeom prst="roundRect">
          <a:avLst/>
        </a:prstGeom>
        <a:solidFill>
          <a:schemeClr val="accent5">
            <a:lumMod val="20000"/>
            <a:lumOff val="80000"/>
          </a:schemeClr>
        </a:solidFill>
        <a:ln>
          <a:solidFill>
            <a:schemeClr val="accent5">
              <a:lumMod val="60000"/>
              <a:lumOff val="40000"/>
            </a:schemeClr>
          </a:solidFill>
        </a:ln>
        <a:effectLst>
          <a:outerShdw blurRad="50800" dist="38100" dir="5400000" algn="t"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0">
              <a:solidFill>
                <a:schemeClr val="accent5">
                  <a:lumMod val="75000"/>
                </a:schemeClr>
              </a:solidFill>
            </a:rPr>
            <a:t>Hospital</a:t>
          </a:r>
          <a:r>
            <a:rPr lang="en-GB" sz="3600" b="0" baseline="0">
              <a:solidFill>
                <a:schemeClr val="accent5">
                  <a:lumMod val="75000"/>
                </a:schemeClr>
              </a:solidFill>
            </a:rPr>
            <a:t> Pateint Treatment Data -  Recovery Analysis</a:t>
          </a:r>
        </a:p>
      </xdr:txBody>
    </xdr:sp>
    <xdr:clientData/>
  </xdr:twoCellAnchor>
  <xdr:twoCellAnchor editAs="oneCell">
    <xdr:from>
      <xdr:col>20</xdr:col>
      <xdr:colOff>123318</xdr:colOff>
      <xdr:row>27</xdr:row>
      <xdr:rowOff>184</xdr:rowOff>
    </xdr:from>
    <xdr:to>
      <xdr:col>22</xdr:col>
      <xdr:colOff>301120</xdr:colOff>
      <xdr:row>37</xdr:row>
      <xdr:rowOff>12884</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25F16D17-5248-3A4E-A509-2CD7AEFC612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717985" y="5486584"/>
              <a:ext cx="1837268" cy="2044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136019</xdr:colOff>
      <xdr:row>38</xdr:row>
      <xdr:rowOff>101599</xdr:rowOff>
    </xdr:from>
    <xdr:to>
      <xdr:col>22</xdr:col>
      <xdr:colOff>355601</xdr:colOff>
      <xdr:row>45</xdr:row>
      <xdr:rowOff>84666</xdr:rowOff>
    </xdr:to>
    <mc:AlternateContent xmlns:mc="http://schemas.openxmlformats.org/markup-compatibility/2006" xmlns:a14="http://schemas.microsoft.com/office/drawing/2010/main">
      <mc:Choice Requires="a14">
        <xdr:graphicFrame macro="">
          <xdr:nvGraphicFramePr>
            <xdr:cNvPr id="4" name="Treatment Type 1">
              <a:extLst>
                <a:ext uri="{FF2B5EF4-FFF2-40B4-BE49-F238E27FC236}">
                  <a16:creationId xmlns:a16="http://schemas.microsoft.com/office/drawing/2014/main" id="{0F41D9BF-1F8F-134F-9FB7-173D1DAAE292}"/>
                </a:ext>
              </a:extLst>
            </xdr:cNvPr>
            <xdr:cNvGraphicFramePr/>
          </xdr:nvGraphicFramePr>
          <xdr:xfrm>
            <a:off x="0" y="0"/>
            <a:ext cx="0" cy="0"/>
          </xdr:xfrm>
          <a:graphic>
            <a:graphicData uri="http://schemas.microsoft.com/office/drawing/2010/slicer">
              <sle:slicer xmlns:sle="http://schemas.microsoft.com/office/drawing/2010/slicer" name="Treatment Type 1"/>
            </a:graphicData>
          </a:graphic>
        </xdr:graphicFrame>
      </mc:Choice>
      <mc:Fallback xmlns="">
        <xdr:sp macro="" textlink="">
          <xdr:nvSpPr>
            <xdr:cNvPr id="0" name=""/>
            <xdr:cNvSpPr>
              <a:spLocks noTextEdit="1"/>
            </xdr:cNvSpPr>
          </xdr:nvSpPr>
          <xdr:spPr>
            <a:xfrm>
              <a:off x="16730686" y="7823199"/>
              <a:ext cx="1879048" cy="1405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93684</xdr:colOff>
      <xdr:row>16</xdr:row>
      <xdr:rowOff>193812</xdr:rowOff>
    </xdr:from>
    <xdr:to>
      <xdr:col>22</xdr:col>
      <xdr:colOff>271486</xdr:colOff>
      <xdr:row>25</xdr:row>
      <xdr:rowOff>104913</xdr:rowOff>
    </xdr:to>
    <mc:AlternateContent xmlns:mc="http://schemas.openxmlformats.org/markup-compatibility/2006" xmlns:a14="http://schemas.microsoft.com/office/drawing/2010/main">
      <mc:Choice Requires="a14">
        <xdr:graphicFrame macro="">
          <xdr:nvGraphicFramePr>
            <xdr:cNvPr id="5" name="Doctor Name 1">
              <a:extLst>
                <a:ext uri="{FF2B5EF4-FFF2-40B4-BE49-F238E27FC236}">
                  <a16:creationId xmlns:a16="http://schemas.microsoft.com/office/drawing/2014/main" id="{E0E9850F-73F9-CF46-9260-03F3CCA5B982}"/>
                </a:ext>
              </a:extLst>
            </xdr:cNvPr>
            <xdr:cNvGraphicFramePr/>
          </xdr:nvGraphicFramePr>
          <xdr:xfrm>
            <a:off x="0" y="0"/>
            <a:ext cx="0" cy="0"/>
          </xdr:xfrm>
          <a:graphic>
            <a:graphicData uri="http://schemas.microsoft.com/office/drawing/2010/slicer">
              <sle:slicer xmlns:sle="http://schemas.microsoft.com/office/drawing/2010/slicer" name="Doctor Name 1"/>
            </a:graphicData>
          </a:graphic>
        </xdr:graphicFrame>
      </mc:Choice>
      <mc:Fallback xmlns="">
        <xdr:sp macro="" textlink="">
          <xdr:nvSpPr>
            <xdr:cNvPr id="0" name=""/>
            <xdr:cNvSpPr>
              <a:spLocks noTextEdit="1"/>
            </xdr:cNvSpPr>
          </xdr:nvSpPr>
          <xdr:spPr>
            <a:xfrm>
              <a:off x="16688351" y="3445012"/>
              <a:ext cx="1837268" cy="17399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62948</xdr:colOff>
      <xdr:row>9</xdr:row>
      <xdr:rowOff>159578</xdr:rowOff>
    </xdr:from>
    <xdr:to>
      <xdr:col>22</xdr:col>
      <xdr:colOff>240749</xdr:colOff>
      <xdr:row>15</xdr:row>
      <xdr:rowOff>129098</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E68FBCF9-B460-0F4A-A57A-4BFDC7B7D71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657615" y="1988378"/>
              <a:ext cx="1837267" cy="11887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609600</xdr:colOff>
      <xdr:row>8</xdr:row>
      <xdr:rowOff>186267</xdr:rowOff>
    </xdr:from>
    <xdr:to>
      <xdr:col>8</xdr:col>
      <xdr:colOff>101599</xdr:colOff>
      <xdr:row>17</xdr:row>
      <xdr:rowOff>50801</xdr:rowOff>
    </xdr:to>
    <xdr:sp macro="" textlink="">
      <xdr:nvSpPr>
        <xdr:cNvPr id="12" name="Rectangle 11">
          <a:extLst>
            <a:ext uri="{FF2B5EF4-FFF2-40B4-BE49-F238E27FC236}">
              <a16:creationId xmlns:a16="http://schemas.microsoft.com/office/drawing/2014/main" id="{D5FECAB1-B070-EC43-ABC0-119970DE3E07}"/>
            </a:ext>
          </a:extLst>
        </xdr:cNvPr>
        <xdr:cNvSpPr/>
      </xdr:nvSpPr>
      <xdr:spPr>
        <a:xfrm>
          <a:off x="3928533" y="1811867"/>
          <a:ext cx="2810933" cy="1693334"/>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400" b="1">
              <a:solidFill>
                <a:schemeClr val="accent5">
                  <a:lumMod val="75000"/>
                </a:schemeClr>
              </a:solidFill>
              <a:latin typeface="+mn-lt"/>
              <a:ea typeface="+mn-ea"/>
              <a:cs typeface="+mn-cs"/>
            </a:rPr>
            <a:t>Avg</a:t>
          </a:r>
          <a:r>
            <a:rPr lang="en-GB" sz="2400" b="1" baseline="0">
              <a:solidFill>
                <a:schemeClr val="accent5">
                  <a:lumMod val="75000"/>
                </a:schemeClr>
              </a:solidFill>
              <a:latin typeface="+mn-lt"/>
              <a:ea typeface="+mn-ea"/>
              <a:cs typeface="+mn-cs"/>
            </a:rPr>
            <a:t> Treatment Cost </a:t>
          </a:r>
          <a:endParaRPr lang="en-GB" sz="2400" b="1">
            <a:solidFill>
              <a:schemeClr val="accent5">
                <a:lumMod val="75000"/>
              </a:schemeClr>
            </a:solidFill>
            <a:latin typeface="+mn-lt"/>
            <a:ea typeface="+mn-ea"/>
            <a:cs typeface="+mn-cs"/>
          </a:endParaRPr>
        </a:p>
        <a:p>
          <a:pPr marL="0" indent="0" algn="ctr"/>
          <a:endParaRPr lang="en-GB" sz="2400">
            <a:solidFill>
              <a:schemeClr val="accent5">
                <a:lumMod val="75000"/>
              </a:schemeClr>
            </a:solidFill>
            <a:latin typeface="+mn-lt"/>
            <a:ea typeface="+mn-ea"/>
            <a:cs typeface="+mn-cs"/>
          </a:endParaRPr>
        </a:p>
      </xdr:txBody>
    </xdr:sp>
    <xdr:clientData/>
  </xdr:twoCellAnchor>
  <xdr:twoCellAnchor>
    <xdr:from>
      <xdr:col>8</xdr:col>
      <xdr:colOff>440268</xdr:colOff>
      <xdr:row>8</xdr:row>
      <xdr:rowOff>186266</xdr:rowOff>
    </xdr:from>
    <xdr:to>
      <xdr:col>11</xdr:col>
      <xdr:colOff>762001</xdr:colOff>
      <xdr:row>17</xdr:row>
      <xdr:rowOff>50800</xdr:rowOff>
    </xdr:to>
    <xdr:sp macro="" textlink="">
      <xdr:nvSpPr>
        <xdr:cNvPr id="13" name="Rectangle 12">
          <a:extLst>
            <a:ext uri="{FF2B5EF4-FFF2-40B4-BE49-F238E27FC236}">
              <a16:creationId xmlns:a16="http://schemas.microsoft.com/office/drawing/2014/main" id="{A322C198-D149-2A47-BC15-28BC80FBBAF5}"/>
            </a:ext>
          </a:extLst>
        </xdr:cNvPr>
        <xdr:cNvSpPr/>
      </xdr:nvSpPr>
      <xdr:spPr>
        <a:xfrm>
          <a:off x="7078135" y="1811866"/>
          <a:ext cx="2810933" cy="1693334"/>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3200" b="1">
              <a:solidFill>
                <a:schemeClr val="accent5">
                  <a:lumMod val="75000"/>
                </a:schemeClr>
              </a:solidFill>
              <a:latin typeface="+mn-lt"/>
              <a:ea typeface="+mn-ea"/>
              <a:cs typeface="+mn-cs"/>
            </a:rPr>
            <a:t>Avg Age </a:t>
          </a:r>
        </a:p>
        <a:p>
          <a:pPr marL="0" indent="0" algn="ctr"/>
          <a:endParaRPr lang="en-GB" sz="2400">
            <a:solidFill>
              <a:schemeClr val="accent5">
                <a:lumMod val="75000"/>
              </a:schemeClr>
            </a:solidFill>
            <a:latin typeface="+mn-lt"/>
            <a:ea typeface="+mn-ea"/>
            <a:cs typeface="+mn-cs"/>
          </a:endParaRPr>
        </a:p>
      </xdr:txBody>
    </xdr:sp>
    <xdr:clientData/>
  </xdr:twoCellAnchor>
  <xdr:twoCellAnchor>
    <xdr:from>
      <xdr:col>12</xdr:col>
      <xdr:colOff>321733</xdr:colOff>
      <xdr:row>9</xdr:row>
      <xdr:rowOff>1</xdr:rowOff>
    </xdr:from>
    <xdr:to>
      <xdr:col>15</xdr:col>
      <xdr:colOff>643466</xdr:colOff>
      <xdr:row>17</xdr:row>
      <xdr:rowOff>67735</xdr:rowOff>
    </xdr:to>
    <xdr:sp macro="" textlink="">
      <xdr:nvSpPr>
        <xdr:cNvPr id="14" name="Rectangle 13">
          <a:extLst>
            <a:ext uri="{FF2B5EF4-FFF2-40B4-BE49-F238E27FC236}">
              <a16:creationId xmlns:a16="http://schemas.microsoft.com/office/drawing/2014/main" id="{422E4DC7-E0C7-0245-B69C-6919125DAD40}"/>
            </a:ext>
          </a:extLst>
        </xdr:cNvPr>
        <xdr:cNvSpPr/>
      </xdr:nvSpPr>
      <xdr:spPr>
        <a:xfrm>
          <a:off x="10278533" y="1828801"/>
          <a:ext cx="2810933" cy="1693334"/>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3200" b="1">
              <a:solidFill>
                <a:schemeClr val="accent5">
                  <a:lumMod val="75000"/>
                </a:schemeClr>
              </a:solidFill>
              <a:latin typeface="+mn-lt"/>
              <a:ea typeface="+mn-ea"/>
              <a:cs typeface="+mn-cs"/>
            </a:rPr>
            <a:t>Avg Stay (Days)</a:t>
          </a:r>
        </a:p>
        <a:p>
          <a:pPr marL="0" indent="0" algn="ctr"/>
          <a:endParaRPr lang="en-GB" sz="2400" b="1">
            <a:solidFill>
              <a:schemeClr val="accent5">
                <a:lumMod val="75000"/>
              </a:schemeClr>
            </a:solidFill>
            <a:latin typeface="+mn-lt"/>
            <a:ea typeface="+mn-ea"/>
            <a:cs typeface="+mn-cs"/>
          </a:endParaRPr>
        </a:p>
      </xdr:txBody>
    </xdr:sp>
    <xdr:clientData/>
  </xdr:twoCellAnchor>
  <xdr:twoCellAnchor>
    <xdr:from>
      <xdr:col>16</xdr:col>
      <xdr:colOff>50801</xdr:colOff>
      <xdr:row>9</xdr:row>
      <xdr:rowOff>67733</xdr:rowOff>
    </xdr:from>
    <xdr:to>
      <xdr:col>19</xdr:col>
      <xdr:colOff>372534</xdr:colOff>
      <xdr:row>17</xdr:row>
      <xdr:rowOff>135467</xdr:rowOff>
    </xdr:to>
    <xdr:sp macro="" textlink="">
      <xdr:nvSpPr>
        <xdr:cNvPr id="15" name="Rectangle 14">
          <a:extLst>
            <a:ext uri="{FF2B5EF4-FFF2-40B4-BE49-F238E27FC236}">
              <a16:creationId xmlns:a16="http://schemas.microsoft.com/office/drawing/2014/main" id="{35CD9EC5-6291-2B45-BB31-5161E638D76B}"/>
            </a:ext>
          </a:extLst>
        </xdr:cNvPr>
        <xdr:cNvSpPr/>
      </xdr:nvSpPr>
      <xdr:spPr>
        <a:xfrm>
          <a:off x="13326534" y="1896533"/>
          <a:ext cx="2810933" cy="1693334"/>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2400" b="1">
              <a:solidFill>
                <a:schemeClr val="accent5">
                  <a:lumMod val="75000"/>
                </a:schemeClr>
              </a:solidFill>
              <a:latin typeface="+mn-lt"/>
              <a:ea typeface="+mn-ea"/>
              <a:cs typeface="+mn-cs"/>
            </a:rPr>
            <a:t>Avg Recovery Score</a:t>
          </a:r>
        </a:p>
        <a:p>
          <a:pPr marL="0" indent="0" algn="ctr"/>
          <a:endParaRPr lang="en-GB" sz="2400">
            <a:solidFill>
              <a:schemeClr val="accent5">
                <a:lumMod val="75000"/>
              </a:schemeClr>
            </a:solidFill>
            <a:latin typeface="+mn-lt"/>
            <a:ea typeface="+mn-ea"/>
            <a:cs typeface="+mn-cs"/>
          </a:endParaRPr>
        </a:p>
      </xdr:txBody>
    </xdr:sp>
    <xdr:clientData/>
  </xdr:twoCellAnchor>
  <xdr:twoCellAnchor>
    <xdr:from>
      <xdr:col>6</xdr:col>
      <xdr:colOff>84667</xdr:colOff>
      <xdr:row>13</xdr:row>
      <xdr:rowOff>186267</xdr:rowOff>
    </xdr:from>
    <xdr:to>
      <xdr:col>8</xdr:col>
      <xdr:colOff>16933</xdr:colOff>
      <xdr:row>16</xdr:row>
      <xdr:rowOff>50800</xdr:rowOff>
    </xdr:to>
    <xdr:sp macro="" textlink="pivot_table!B4">
      <xdr:nvSpPr>
        <xdr:cNvPr id="16" name="TextBox 15">
          <a:extLst>
            <a:ext uri="{FF2B5EF4-FFF2-40B4-BE49-F238E27FC236}">
              <a16:creationId xmlns:a16="http://schemas.microsoft.com/office/drawing/2014/main" id="{36CABE69-C8F6-3143-B002-C52A1DA24A88}"/>
            </a:ext>
          </a:extLst>
        </xdr:cNvPr>
        <xdr:cNvSpPr txBox="1"/>
      </xdr:nvSpPr>
      <xdr:spPr>
        <a:xfrm>
          <a:off x="5063067" y="2827867"/>
          <a:ext cx="1591733" cy="4741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DE5866-D405-A145-BDB5-31461E1901EE}" type="TxLink">
            <a:rPr lang="en-US" sz="2800" b="1" i="0" u="none" strike="noStrike">
              <a:solidFill>
                <a:schemeClr val="accent5">
                  <a:lumMod val="75000"/>
                </a:schemeClr>
              </a:solidFill>
              <a:latin typeface="Aptos Narrow"/>
            </a:rPr>
            <a:pPr/>
            <a:t>79698.51</a:t>
          </a:fld>
          <a:endParaRPr lang="en-GB" sz="2400" b="1">
            <a:solidFill>
              <a:schemeClr val="accent5">
                <a:lumMod val="75000"/>
              </a:schemeClr>
            </a:solidFill>
          </a:endParaRPr>
        </a:p>
      </xdr:txBody>
    </xdr:sp>
    <xdr:clientData/>
  </xdr:twoCellAnchor>
  <xdr:twoCellAnchor>
    <xdr:from>
      <xdr:col>17</xdr:col>
      <xdr:colOff>762000</xdr:colOff>
      <xdr:row>13</xdr:row>
      <xdr:rowOff>186266</xdr:rowOff>
    </xdr:from>
    <xdr:to>
      <xdr:col>19</xdr:col>
      <xdr:colOff>220134</xdr:colOff>
      <xdr:row>16</xdr:row>
      <xdr:rowOff>50799</xdr:rowOff>
    </xdr:to>
    <xdr:sp macro="" textlink="pivot_table!E4">
      <xdr:nvSpPr>
        <xdr:cNvPr id="17" name="TextBox 16">
          <a:extLst>
            <a:ext uri="{FF2B5EF4-FFF2-40B4-BE49-F238E27FC236}">
              <a16:creationId xmlns:a16="http://schemas.microsoft.com/office/drawing/2014/main" id="{16C2E46F-4967-6A4D-B490-9D5EC49ACC4A}"/>
            </a:ext>
          </a:extLst>
        </xdr:cNvPr>
        <xdr:cNvSpPr txBox="1"/>
      </xdr:nvSpPr>
      <xdr:spPr>
        <a:xfrm>
          <a:off x="14867467" y="2827866"/>
          <a:ext cx="1117600" cy="4741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31BDB4-E78A-B947-ABF7-716C822A6DE8}" type="TxLink">
            <a:rPr lang="en-US" sz="2800" b="1" i="0" u="none" strike="noStrike">
              <a:solidFill>
                <a:schemeClr val="accent5">
                  <a:lumMod val="75000"/>
                </a:schemeClr>
              </a:solidFill>
              <a:latin typeface="Aptos Narrow"/>
            </a:rPr>
            <a:pPr/>
            <a:t>70.38</a:t>
          </a:fld>
          <a:endParaRPr lang="en-GB" sz="2400" b="1">
            <a:solidFill>
              <a:schemeClr val="accent5">
                <a:lumMod val="75000"/>
              </a:schemeClr>
            </a:solidFill>
          </a:endParaRPr>
        </a:p>
      </xdr:txBody>
    </xdr:sp>
    <xdr:clientData/>
  </xdr:twoCellAnchor>
  <xdr:twoCellAnchor>
    <xdr:from>
      <xdr:col>14</xdr:col>
      <xdr:colOff>67733</xdr:colOff>
      <xdr:row>13</xdr:row>
      <xdr:rowOff>186266</xdr:rowOff>
    </xdr:from>
    <xdr:to>
      <xdr:col>15</xdr:col>
      <xdr:colOff>253999</xdr:colOff>
      <xdr:row>16</xdr:row>
      <xdr:rowOff>50799</xdr:rowOff>
    </xdr:to>
    <xdr:sp macro="" textlink="pivot_table!D4">
      <xdr:nvSpPr>
        <xdr:cNvPr id="18" name="TextBox 17">
          <a:extLst>
            <a:ext uri="{FF2B5EF4-FFF2-40B4-BE49-F238E27FC236}">
              <a16:creationId xmlns:a16="http://schemas.microsoft.com/office/drawing/2014/main" id="{EEDA0746-59D0-E244-A376-D3772C80FC78}"/>
            </a:ext>
          </a:extLst>
        </xdr:cNvPr>
        <xdr:cNvSpPr txBox="1"/>
      </xdr:nvSpPr>
      <xdr:spPr>
        <a:xfrm>
          <a:off x="11684000" y="2827866"/>
          <a:ext cx="1015999" cy="4741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6A9AA-BBC3-A64A-ACC3-CAF676685832}" type="TxLink">
            <a:rPr lang="en-US" sz="2800" b="1" i="0" u="none" strike="noStrike">
              <a:solidFill>
                <a:schemeClr val="accent5">
                  <a:lumMod val="75000"/>
                </a:schemeClr>
              </a:solidFill>
              <a:latin typeface="Aptos Narrow"/>
            </a:rPr>
            <a:pPr/>
            <a:t>16.02</a:t>
          </a:fld>
          <a:endParaRPr lang="en-GB" sz="2400" b="1">
            <a:solidFill>
              <a:schemeClr val="accent5">
                <a:lumMod val="75000"/>
              </a:schemeClr>
            </a:solidFill>
          </a:endParaRPr>
        </a:p>
      </xdr:txBody>
    </xdr:sp>
    <xdr:clientData/>
  </xdr:twoCellAnchor>
  <xdr:twoCellAnchor>
    <xdr:from>
      <xdr:col>10</xdr:col>
      <xdr:colOff>135467</xdr:colOff>
      <xdr:row>13</xdr:row>
      <xdr:rowOff>186267</xdr:rowOff>
    </xdr:from>
    <xdr:to>
      <xdr:col>11</xdr:col>
      <xdr:colOff>355599</xdr:colOff>
      <xdr:row>16</xdr:row>
      <xdr:rowOff>50800</xdr:rowOff>
    </xdr:to>
    <xdr:sp macro="" textlink="pivot_table!C4">
      <xdr:nvSpPr>
        <xdr:cNvPr id="19" name="TextBox 18">
          <a:extLst>
            <a:ext uri="{FF2B5EF4-FFF2-40B4-BE49-F238E27FC236}">
              <a16:creationId xmlns:a16="http://schemas.microsoft.com/office/drawing/2014/main" id="{58D3DBC8-1658-0F41-9288-55A8595989DD}"/>
            </a:ext>
          </a:extLst>
        </xdr:cNvPr>
        <xdr:cNvSpPr txBox="1"/>
      </xdr:nvSpPr>
      <xdr:spPr>
        <a:xfrm>
          <a:off x="8432800" y="2827867"/>
          <a:ext cx="1049866" cy="4741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AFF3FB-3C4B-1E41-9682-07D373B6E642}" type="TxLink">
            <a:rPr lang="en-US" sz="2800" b="1" i="0" u="none" strike="noStrike">
              <a:solidFill>
                <a:schemeClr val="accent5">
                  <a:lumMod val="75000"/>
                </a:schemeClr>
              </a:solidFill>
              <a:latin typeface="Aptos Narrow"/>
            </a:rPr>
            <a:pPr/>
            <a:t>41.71</a:t>
          </a:fld>
          <a:endParaRPr lang="en-GB" sz="2400" b="1">
            <a:solidFill>
              <a:schemeClr val="accent5">
                <a:lumMod val="75000"/>
              </a:schemeClr>
            </a:solidFill>
          </a:endParaRPr>
        </a:p>
      </xdr:txBody>
    </xdr:sp>
    <xdr:clientData/>
  </xdr:twoCellAnchor>
  <xdr:twoCellAnchor>
    <xdr:from>
      <xdr:col>0</xdr:col>
      <xdr:colOff>558799</xdr:colOff>
      <xdr:row>18</xdr:row>
      <xdr:rowOff>84666</xdr:rowOff>
    </xdr:from>
    <xdr:to>
      <xdr:col>6</xdr:col>
      <xdr:colOff>677332</xdr:colOff>
      <xdr:row>35</xdr:row>
      <xdr:rowOff>101600</xdr:rowOff>
    </xdr:to>
    <xdr:graphicFrame macro="">
      <xdr:nvGraphicFramePr>
        <xdr:cNvPr id="20" name="Chart 19">
          <a:extLst>
            <a:ext uri="{FF2B5EF4-FFF2-40B4-BE49-F238E27FC236}">
              <a16:creationId xmlns:a16="http://schemas.microsoft.com/office/drawing/2014/main" id="{67A218FD-4435-004B-8C85-DC77162B3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423334</xdr:colOff>
      <xdr:row>19</xdr:row>
      <xdr:rowOff>84667</xdr:rowOff>
    </xdr:from>
    <xdr:to>
      <xdr:col>13</xdr:col>
      <xdr:colOff>270934</xdr:colOff>
      <xdr:row>35</xdr:row>
      <xdr:rowOff>135467</xdr:rowOff>
    </xdr:to>
    <xdr:graphicFrame macro="">
      <xdr:nvGraphicFramePr>
        <xdr:cNvPr id="21" name="Chart 20">
          <a:extLst>
            <a:ext uri="{FF2B5EF4-FFF2-40B4-BE49-F238E27FC236}">
              <a16:creationId xmlns:a16="http://schemas.microsoft.com/office/drawing/2014/main" id="{0BB9AD37-4A43-3544-BBFB-77F92ECAF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762000</xdr:colOff>
      <xdr:row>19</xdr:row>
      <xdr:rowOff>67733</xdr:rowOff>
    </xdr:from>
    <xdr:to>
      <xdr:col>19</xdr:col>
      <xdr:colOff>524934</xdr:colOff>
      <xdr:row>35</xdr:row>
      <xdr:rowOff>118532</xdr:rowOff>
    </xdr:to>
    <xdr:graphicFrame macro="">
      <xdr:nvGraphicFramePr>
        <xdr:cNvPr id="22" name="Chart 21">
          <a:extLst>
            <a:ext uri="{FF2B5EF4-FFF2-40B4-BE49-F238E27FC236}">
              <a16:creationId xmlns:a16="http://schemas.microsoft.com/office/drawing/2014/main" id="{8DA0E2B9-6AC2-C247-B07C-D6BC889FA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558801</xdr:colOff>
      <xdr:row>37</xdr:row>
      <xdr:rowOff>50798</xdr:rowOff>
    </xdr:from>
    <xdr:to>
      <xdr:col>6</xdr:col>
      <xdr:colOff>728133</xdr:colOff>
      <xdr:row>53</xdr:row>
      <xdr:rowOff>33865</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3B4FB3EE-3860-4847-88BC-0739DF0DC4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58801" y="7569198"/>
              <a:ext cx="5122332" cy="323426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389466</xdr:colOff>
      <xdr:row>37</xdr:row>
      <xdr:rowOff>50798</xdr:rowOff>
    </xdr:from>
    <xdr:to>
      <xdr:col>13</xdr:col>
      <xdr:colOff>152399</xdr:colOff>
      <xdr:row>53</xdr:row>
      <xdr:rowOff>84665</xdr:rowOff>
    </xdr:to>
    <xdr:graphicFrame macro="">
      <xdr:nvGraphicFramePr>
        <xdr:cNvPr id="27" name="Chart 26">
          <a:extLst>
            <a:ext uri="{FF2B5EF4-FFF2-40B4-BE49-F238E27FC236}">
              <a16:creationId xmlns:a16="http://schemas.microsoft.com/office/drawing/2014/main" id="{82AFC884-B7F2-4C45-A19A-942E974D8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761999</xdr:colOff>
      <xdr:row>8</xdr:row>
      <xdr:rowOff>186267</xdr:rowOff>
    </xdr:from>
    <xdr:to>
      <xdr:col>4</xdr:col>
      <xdr:colOff>253999</xdr:colOff>
      <xdr:row>17</xdr:row>
      <xdr:rowOff>50801</xdr:rowOff>
    </xdr:to>
    <xdr:sp macro="" textlink="">
      <xdr:nvSpPr>
        <xdr:cNvPr id="9" name="Rectangle 8">
          <a:extLst>
            <a:ext uri="{FF2B5EF4-FFF2-40B4-BE49-F238E27FC236}">
              <a16:creationId xmlns:a16="http://schemas.microsoft.com/office/drawing/2014/main" id="{E4C0BCEB-3957-5B4C-9A48-E375E8EEFEE7}"/>
            </a:ext>
          </a:extLst>
        </xdr:cNvPr>
        <xdr:cNvSpPr/>
      </xdr:nvSpPr>
      <xdr:spPr>
        <a:xfrm>
          <a:off x="761999" y="1811867"/>
          <a:ext cx="2810933" cy="1693334"/>
        </a:xfrm>
        <a:prstGeom prst="rect">
          <a:avLst/>
        </a:prstGeom>
        <a:solidFill>
          <a:schemeClr val="bg1"/>
        </a:solidFill>
        <a:ln>
          <a:solidFill>
            <a:schemeClr val="bg1"/>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3200" b="1">
              <a:solidFill>
                <a:schemeClr val="accent5">
                  <a:lumMod val="75000"/>
                </a:schemeClr>
              </a:solidFill>
              <a:latin typeface="+mn-lt"/>
              <a:ea typeface="+mn-ea"/>
              <a:cs typeface="+mn-cs"/>
            </a:rPr>
            <a:t>Patients</a:t>
          </a:r>
          <a:r>
            <a:rPr lang="en-GB" sz="3200" b="1" baseline="0">
              <a:solidFill>
                <a:schemeClr val="accent5">
                  <a:lumMod val="75000"/>
                </a:schemeClr>
              </a:solidFill>
              <a:latin typeface="+mn-lt"/>
              <a:ea typeface="+mn-ea"/>
              <a:cs typeface="+mn-cs"/>
            </a:rPr>
            <a:t> Count</a:t>
          </a:r>
          <a:endParaRPr lang="en-GB" sz="3200" b="1">
            <a:solidFill>
              <a:schemeClr val="accent5">
                <a:lumMod val="75000"/>
              </a:schemeClr>
            </a:solidFill>
            <a:latin typeface="+mn-lt"/>
            <a:ea typeface="+mn-ea"/>
            <a:cs typeface="+mn-cs"/>
          </a:endParaRPr>
        </a:p>
        <a:p>
          <a:pPr marL="0" indent="0" algn="ctr"/>
          <a:endParaRPr lang="en-GB" sz="2400">
            <a:solidFill>
              <a:schemeClr val="accent5">
                <a:lumMod val="75000"/>
              </a:schemeClr>
            </a:solidFill>
            <a:latin typeface="+mn-lt"/>
            <a:ea typeface="+mn-ea"/>
            <a:cs typeface="+mn-cs"/>
          </a:endParaRPr>
        </a:p>
      </xdr:txBody>
    </xdr:sp>
    <xdr:clientData/>
  </xdr:twoCellAnchor>
  <xdr:twoCellAnchor>
    <xdr:from>
      <xdr:col>2</xdr:col>
      <xdr:colOff>660398</xdr:colOff>
      <xdr:row>13</xdr:row>
      <xdr:rowOff>118533</xdr:rowOff>
    </xdr:from>
    <xdr:to>
      <xdr:col>3</xdr:col>
      <xdr:colOff>643465</xdr:colOff>
      <xdr:row>15</xdr:row>
      <xdr:rowOff>186266</xdr:rowOff>
    </xdr:to>
    <xdr:sp macro="" textlink="pivot_table!B4">
      <xdr:nvSpPr>
        <xdr:cNvPr id="10" name="TextBox 9">
          <a:extLst>
            <a:ext uri="{FF2B5EF4-FFF2-40B4-BE49-F238E27FC236}">
              <a16:creationId xmlns:a16="http://schemas.microsoft.com/office/drawing/2014/main" id="{318B6885-1908-D747-80A1-9AF01BA119E3}"/>
            </a:ext>
          </a:extLst>
        </xdr:cNvPr>
        <xdr:cNvSpPr txBox="1"/>
      </xdr:nvSpPr>
      <xdr:spPr>
        <a:xfrm>
          <a:off x="2319865" y="2760133"/>
          <a:ext cx="812800" cy="4741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accent5">
                  <a:lumMod val="75000"/>
                </a:schemeClr>
              </a:solidFill>
            </a:rPr>
            <a:t>200</a:t>
          </a:r>
        </a:p>
      </xdr:txBody>
    </xdr:sp>
    <xdr:clientData/>
  </xdr:twoCellAnchor>
  <xdr:twoCellAnchor editAs="oneCell">
    <xdr:from>
      <xdr:col>1</xdr:col>
      <xdr:colOff>304800</xdr:colOff>
      <xdr:row>12</xdr:row>
      <xdr:rowOff>118533</xdr:rowOff>
    </xdr:from>
    <xdr:to>
      <xdr:col>2</xdr:col>
      <xdr:colOff>389466</xdr:colOff>
      <xdr:row>17</xdr:row>
      <xdr:rowOff>16933</xdr:rowOff>
    </xdr:to>
    <xdr:pic>
      <xdr:nvPicPr>
        <xdr:cNvPr id="23" name="Graphic 22" descr="Users with solid fill">
          <a:extLst>
            <a:ext uri="{FF2B5EF4-FFF2-40B4-BE49-F238E27FC236}">
              <a16:creationId xmlns:a16="http://schemas.microsoft.com/office/drawing/2014/main" id="{87E29D94-0EFC-77AF-AF42-0F0A0117B3F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34533" y="2556933"/>
          <a:ext cx="914400" cy="914400"/>
        </a:xfrm>
        <a:prstGeom prst="rect">
          <a:avLst/>
        </a:prstGeom>
      </xdr:spPr>
    </xdr:pic>
    <xdr:clientData/>
  </xdr:twoCellAnchor>
  <xdr:twoCellAnchor editAs="oneCell">
    <xdr:from>
      <xdr:col>4</xdr:col>
      <xdr:colOff>762001</xdr:colOff>
      <xdr:row>12</xdr:row>
      <xdr:rowOff>152400</xdr:rowOff>
    </xdr:from>
    <xdr:to>
      <xdr:col>6</xdr:col>
      <xdr:colOff>16934</xdr:colOff>
      <xdr:row>17</xdr:row>
      <xdr:rowOff>50800</xdr:rowOff>
    </xdr:to>
    <xdr:pic>
      <xdr:nvPicPr>
        <xdr:cNvPr id="28" name="Graphic 27" descr="Money with solid fill">
          <a:extLst>
            <a:ext uri="{FF2B5EF4-FFF2-40B4-BE49-F238E27FC236}">
              <a16:creationId xmlns:a16="http://schemas.microsoft.com/office/drawing/2014/main" id="{3A05C328-F3B0-E103-8D4E-B1F310C2053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80934" y="2590800"/>
          <a:ext cx="914400" cy="914400"/>
        </a:xfrm>
        <a:prstGeom prst="rect">
          <a:avLst/>
        </a:prstGeom>
      </xdr:spPr>
    </xdr:pic>
    <xdr:clientData/>
  </xdr:twoCellAnchor>
  <xdr:twoCellAnchor editAs="oneCell">
    <xdr:from>
      <xdr:col>8</xdr:col>
      <xdr:colOff>575733</xdr:colOff>
      <xdr:row>12</xdr:row>
      <xdr:rowOff>169334</xdr:rowOff>
    </xdr:from>
    <xdr:to>
      <xdr:col>9</xdr:col>
      <xdr:colOff>660400</xdr:colOff>
      <xdr:row>17</xdr:row>
      <xdr:rowOff>67734</xdr:rowOff>
    </xdr:to>
    <xdr:pic>
      <xdr:nvPicPr>
        <xdr:cNvPr id="30" name="Graphic 29" descr="Daily calendar with solid fill">
          <a:extLst>
            <a:ext uri="{FF2B5EF4-FFF2-40B4-BE49-F238E27FC236}">
              <a16:creationId xmlns:a16="http://schemas.microsoft.com/office/drawing/2014/main" id="{AC90B2D3-E5CF-B469-ED68-F59502A1557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13600" y="2607734"/>
          <a:ext cx="914400" cy="914400"/>
        </a:xfrm>
        <a:prstGeom prst="rect">
          <a:avLst/>
        </a:prstGeom>
      </xdr:spPr>
    </xdr:pic>
    <xdr:clientData/>
  </xdr:twoCellAnchor>
  <xdr:twoCellAnchor editAs="oneCell">
    <xdr:from>
      <xdr:col>12</xdr:col>
      <xdr:colOff>660400</xdr:colOff>
      <xdr:row>13</xdr:row>
      <xdr:rowOff>84666</xdr:rowOff>
    </xdr:from>
    <xdr:to>
      <xdr:col>13</xdr:col>
      <xdr:colOff>609601</xdr:colOff>
      <xdr:row>17</xdr:row>
      <xdr:rowOff>50800</xdr:rowOff>
    </xdr:to>
    <xdr:pic>
      <xdr:nvPicPr>
        <xdr:cNvPr id="32" name="Graphic 31" descr="Clock with solid fill">
          <a:extLst>
            <a:ext uri="{FF2B5EF4-FFF2-40B4-BE49-F238E27FC236}">
              <a16:creationId xmlns:a16="http://schemas.microsoft.com/office/drawing/2014/main" id="{478C25FC-EDBF-CDDE-D156-F04FAA084E2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17200" y="2726266"/>
          <a:ext cx="778934" cy="778934"/>
        </a:xfrm>
        <a:prstGeom prst="rect">
          <a:avLst/>
        </a:prstGeom>
      </xdr:spPr>
    </xdr:pic>
    <xdr:clientData/>
  </xdr:twoCellAnchor>
  <xdr:twoCellAnchor editAs="oneCell">
    <xdr:from>
      <xdr:col>16</xdr:col>
      <xdr:colOff>423333</xdr:colOff>
      <xdr:row>13</xdr:row>
      <xdr:rowOff>33867</xdr:rowOff>
    </xdr:from>
    <xdr:to>
      <xdr:col>17</xdr:col>
      <xdr:colOff>507999</xdr:colOff>
      <xdr:row>17</xdr:row>
      <xdr:rowOff>135467</xdr:rowOff>
    </xdr:to>
    <xdr:pic>
      <xdr:nvPicPr>
        <xdr:cNvPr id="34" name="Graphic 33" descr="Heart with pulse with solid fill">
          <a:extLst>
            <a:ext uri="{FF2B5EF4-FFF2-40B4-BE49-F238E27FC236}">
              <a16:creationId xmlns:a16="http://schemas.microsoft.com/office/drawing/2014/main" id="{B85D5297-D521-A5EC-B7CD-7A0A58913AA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699066" y="2675467"/>
          <a:ext cx="914400" cy="914400"/>
        </a:xfrm>
        <a:prstGeom prst="rect">
          <a:avLst/>
        </a:prstGeom>
      </xdr:spPr>
    </xdr:pic>
    <xdr:clientData/>
  </xdr:twoCellAnchor>
  <xdr:twoCellAnchor>
    <xdr:from>
      <xdr:col>13</xdr:col>
      <xdr:colOff>745068</xdr:colOff>
      <xdr:row>37</xdr:row>
      <xdr:rowOff>84666</xdr:rowOff>
    </xdr:from>
    <xdr:to>
      <xdr:col>19</xdr:col>
      <xdr:colOff>609600</xdr:colOff>
      <xdr:row>53</xdr:row>
      <xdr:rowOff>101599</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02878292-705A-E540-BBE1-E209E7F7E1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476568" y="7603066"/>
              <a:ext cx="4817532" cy="326813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279400</xdr:colOff>
      <xdr:row>11</xdr:row>
      <xdr:rowOff>114300</xdr:rowOff>
    </xdr:from>
    <xdr:to>
      <xdr:col>10</xdr:col>
      <xdr:colOff>457200</xdr:colOff>
      <xdr:row>21</xdr:row>
      <xdr:rowOff>127000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C969497B-CCC7-15F3-53AE-617FC082869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06000" y="2349500"/>
              <a:ext cx="1828800" cy="2044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609600</xdr:colOff>
      <xdr:row>9</xdr:row>
      <xdr:rowOff>0</xdr:rowOff>
    </xdr:from>
    <xdr:to>
      <xdr:col>7</xdr:col>
      <xdr:colOff>787400</xdr:colOff>
      <xdr:row>16</xdr:row>
      <xdr:rowOff>63500</xdr:rowOff>
    </xdr:to>
    <mc:AlternateContent xmlns:mc="http://schemas.openxmlformats.org/markup-compatibility/2006" xmlns:a14="http://schemas.microsoft.com/office/drawing/2010/main">
      <mc:Choice Requires="a14">
        <xdr:graphicFrame macro="">
          <xdr:nvGraphicFramePr>
            <xdr:cNvPr id="3" name="Treatment Type">
              <a:extLst>
                <a:ext uri="{FF2B5EF4-FFF2-40B4-BE49-F238E27FC236}">
                  <a16:creationId xmlns:a16="http://schemas.microsoft.com/office/drawing/2014/main" id="{FAC6C7EC-A51A-5058-9082-27B0B7151DE7}"/>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7759700" y="1828800"/>
              <a:ext cx="18288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2</xdr:row>
      <xdr:rowOff>50800</xdr:rowOff>
    </xdr:from>
    <xdr:to>
      <xdr:col>10</xdr:col>
      <xdr:colOff>444500</xdr:colOff>
      <xdr:row>10</xdr:row>
      <xdr:rowOff>165100</xdr:rowOff>
    </xdr:to>
    <mc:AlternateContent xmlns:mc="http://schemas.openxmlformats.org/markup-compatibility/2006" xmlns:a14="http://schemas.microsoft.com/office/drawing/2010/main">
      <mc:Choice Requires="a14">
        <xdr:graphicFrame macro="">
          <xdr:nvGraphicFramePr>
            <xdr:cNvPr id="4" name="Doctor Name">
              <a:extLst>
                <a:ext uri="{FF2B5EF4-FFF2-40B4-BE49-F238E27FC236}">
                  <a16:creationId xmlns:a16="http://schemas.microsoft.com/office/drawing/2014/main" id="{83BBAE75-D507-574B-4529-27CFBF828A48}"/>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9893300" y="457200"/>
              <a:ext cx="1828800" cy="1739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584200</xdr:colOff>
      <xdr:row>2</xdr:row>
      <xdr:rowOff>76200</xdr:rowOff>
    </xdr:from>
    <xdr:to>
      <xdr:col>7</xdr:col>
      <xdr:colOff>762000</xdr:colOff>
      <xdr:row>8</xdr:row>
      <xdr:rowOff>50800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4D189F74-B38D-B4A5-9CC7-F8BB1B74B91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34300" y="482600"/>
              <a:ext cx="1828800" cy="119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635000</xdr:colOff>
      <xdr:row>2</xdr:row>
      <xdr:rowOff>12700</xdr:rowOff>
    </xdr:from>
    <xdr:to>
      <xdr:col>16</xdr:col>
      <xdr:colOff>254000</xdr:colOff>
      <xdr:row>16</xdr:row>
      <xdr:rowOff>139700</xdr:rowOff>
    </xdr:to>
    <xdr:graphicFrame macro="">
      <xdr:nvGraphicFramePr>
        <xdr:cNvPr id="7" name="Chart 6">
          <a:extLst>
            <a:ext uri="{FF2B5EF4-FFF2-40B4-BE49-F238E27FC236}">
              <a16:creationId xmlns:a16="http://schemas.microsoft.com/office/drawing/2014/main" id="{2E58D060-1F2E-0B45-2C4E-1B540B6F5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165100</xdr:colOff>
      <xdr:row>30</xdr:row>
      <xdr:rowOff>25400</xdr:rowOff>
    </xdr:from>
    <xdr:to>
      <xdr:col>10</xdr:col>
      <xdr:colOff>609600</xdr:colOff>
      <xdr:row>43</xdr:row>
      <xdr:rowOff>127000</xdr:rowOff>
    </xdr:to>
    <xdr:graphicFrame macro="">
      <xdr:nvGraphicFramePr>
        <xdr:cNvPr id="8" name="Chart 7">
          <a:extLst>
            <a:ext uri="{FF2B5EF4-FFF2-40B4-BE49-F238E27FC236}">
              <a16:creationId xmlns:a16="http://schemas.microsoft.com/office/drawing/2014/main" id="{E33AF47E-3A95-E0A0-2FDD-AA14C1E38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685800</xdr:colOff>
      <xdr:row>18</xdr:row>
      <xdr:rowOff>114300</xdr:rowOff>
    </xdr:from>
    <xdr:to>
      <xdr:col>16</xdr:col>
      <xdr:colOff>304800</xdr:colOff>
      <xdr:row>32</xdr:row>
      <xdr:rowOff>12700</xdr:rowOff>
    </xdr:to>
    <xdr:graphicFrame macro="">
      <xdr:nvGraphicFramePr>
        <xdr:cNvPr id="10" name="Chart 9">
          <a:extLst>
            <a:ext uri="{FF2B5EF4-FFF2-40B4-BE49-F238E27FC236}">
              <a16:creationId xmlns:a16="http://schemas.microsoft.com/office/drawing/2014/main" id="{54CC7BD9-4B4A-2120-9814-08C5019E3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520700</xdr:colOff>
      <xdr:row>2</xdr:row>
      <xdr:rowOff>76200</xdr:rowOff>
    </xdr:from>
    <xdr:to>
      <xdr:col>22</xdr:col>
      <xdr:colOff>139700</xdr:colOff>
      <xdr:row>15</xdr:row>
      <xdr:rowOff>177800</xdr:rowOff>
    </xdr:to>
    <xdr:graphicFrame macro="">
      <xdr:nvGraphicFramePr>
        <xdr:cNvPr id="11" name="Chart 10">
          <a:extLst>
            <a:ext uri="{FF2B5EF4-FFF2-40B4-BE49-F238E27FC236}">
              <a16:creationId xmlns:a16="http://schemas.microsoft.com/office/drawing/2014/main" id="{7B384430-AA15-E34E-A1D1-D2D6B3B3D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768350</xdr:colOff>
      <xdr:row>33</xdr:row>
      <xdr:rowOff>38100</xdr:rowOff>
    </xdr:from>
    <xdr:to>
      <xdr:col>16</xdr:col>
      <xdr:colOff>387350</xdr:colOff>
      <xdr:row>46</xdr:row>
      <xdr:rowOff>139700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CB3234B2-A86C-7B64-7828-E909F20A8D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779250" y="67437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596900</xdr:colOff>
      <xdr:row>33</xdr:row>
      <xdr:rowOff>25400</xdr:rowOff>
    </xdr:from>
    <xdr:to>
      <xdr:col>22</xdr:col>
      <xdr:colOff>215900</xdr:colOff>
      <xdr:row>46</xdr:row>
      <xdr:rowOff>127000</xdr:rowOff>
    </xdr:to>
    <xdr:graphicFrame macro="">
      <xdr:nvGraphicFramePr>
        <xdr:cNvPr id="15" name="Chart 14">
          <a:extLst>
            <a:ext uri="{FF2B5EF4-FFF2-40B4-BE49-F238E27FC236}">
              <a16:creationId xmlns:a16="http://schemas.microsoft.com/office/drawing/2014/main" id="{47CAAE39-59A8-0F7D-98C5-B7158F61B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1073150</xdr:colOff>
      <xdr:row>32</xdr:row>
      <xdr:rowOff>101600</xdr:rowOff>
    </xdr:from>
    <xdr:to>
      <xdr:col>9</xdr:col>
      <xdr:colOff>590550</xdr:colOff>
      <xdr:row>46</xdr:row>
      <xdr:rowOff>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F114030-747E-1D11-2AAD-0EC25DBBE2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203950" y="66040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 refreshedDate="46165.925487962966" createdVersion="8" refreshedVersion="8" minRefreshableVersion="3" recordCount="200" xr:uid="{A9C748C3-9B34-434B-BD7A-8C319C83F38A}">
  <cacheSource type="worksheet">
    <worksheetSource name="Table1"/>
  </cacheSource>
  <cacheFields count="11">
    <cacheField name="Patient ID" numFmtId="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Category" numFmtId="0">
      <sharedItems count="2">
        <s v="Low Cost"/>
        <s v="High Cost"/>
      </sharedItems>
    </cacheField>
    <cacheField name="Age Group" numFmtId="0">
      <sharedItems count="7">
        <s v="Child"/>
        <s v="Middle aged"/>
        <s v="Senior/Elderly"/>
        <s v="Young Adult"/>
        <s v="Adult"/>
        <s v="Teenager"/>
        <s v="Infant/Toddler"/>
      </sharedItems>
    </cacheField>
  </cacheFields>
  <extLst>
    <ext xmlns:x14="http://schemas.microsoft.com/office/spreadsheetml/2009/9/main" uri="{725AE2AE-9491-48be-B2B4-4EB974FC3084}">
      <x14:pivotCacheDefinition pivotCacheId="1567773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1001"/>
    <x v="0"/>
    <x v="0"/>
    <x v="0"/>
    <x v="0"/>
    <n v="12"/>
    <n v="68632.97"/>
    <n v="21"/>
    <n v="82"/>
    <x v="0"/>
    <x v="0"/>
  </r>
  <r>
    <s v="P1002"/>
    <x v="1"/>
    <x v="1"/>
    <x v="1"/>
    <x v="1"/>
    <n v="52"/>
    <n v="10231.42"/>
    <n v="20"/>
    <n v="42"/>
    <x v="0"/>
    <x v="1"/>
  </r>
  <r>
    <s v="P1003"/>
    <x v="1"/>
    <x v="0"/>
    <x v="0"/>
    <x v="1"/>
    <n v="79"/>
    <n v="10160.24"/>
    <n v="2"/>
    <n v="72"/>
    <x v="0"/>
    <x v="2"/>
  </r>
  <r>
    <s v="P1004"/>
    <x v="1"/>
    <x v="0"/>
    <x v="0"/>
    <x v="0"/>
    <n v="23"/>
    <n v="103508.96"/>
    <n v="20"/>
    <n v="50"/>
    <x v="1"/>
    <x v="3"/>
  </r>
  <r>
    <s v="P1005"/>
    <x v="2"/>
    <x v="1"/>
    <x v="2"/>
    <x v="0"/>
    <n v="7"/>
    <n v="143427.51999999999"/>
    <n v="6"/>
    <n v="43"/>
    <x v="1"/>
    <x v="0"/>
  </r>
  <r>
    <s v="P1006"/>
    <x v="3"/>
    <x v="1"/>
    <x v="3"/>
    <x v="0"/>
    <n v="78"/>
    <n v="146252.19"/>
    <n v="9"/>
    <n v="41"/>
    <x v="1"/>
    <x v="2"/>
  </r>
  <r>
    <s v="P1007"/>
    <x v="3"/>
    <x v="2"/>
    <x v="1"/>
    <x v="2"/>
    <n v="30"/>
    <n v="54393.48"/>
    <n v="1"/>
    <n v="42"/>
    <x v="0"/>
    <x v="4"/>
  </r>
  <r>
    <s v="P1008"/>
    <x v="4"/>
    <x v="2"/>
    <x v="4"/>
    <x v="2"/>
    <n v="68"/>
    <n v="30452.22"/>
    <n v="6"/>
    <n v="77"/>
    <x v="0"/>
    <x v="2"/>
  </r>
  <r>
    <s v="P1009"/>
    <x v="0"/>
    <x v="2"/>
    <x v="0"/>
    <x v="2"/>
    <n v="41"/>
    <n v="79517.25"/>
    <n v="9"/>
    <n v="62"/>
    <x v="1"/>
    <x v="4"/>
  </r>
  <r>
    <s v="P1010"/>
    <x v="1"/>
    <x v="1"/>
    <x v="2"/>
    <x v="2"/>
    <n v="56"/>
    <n v="116558.38"/>
    <n v="24"/>
    <n v="48"/>
    <x v="1"/>
    <x v="1"/>
  </r>
  <r>
    <s v="P1011"/>
    <x v="5"/>
    <x v="1"/>
    <x v="2"/>
    <x v="0"/>
    <n v="24"/>
    <n v="135883.74"/>
    <n v="15"/>
    <n v="54"/>
    <x v="1"/>
    <x v="3"/>
  </r>
  <r>
    <s v="P1012"/>
    <x v="1"/>
    <x v="2"/>
    <x v="1"/>
    <x v="0"/>
    <n v="62"/>
    <n v="148179.98000000001"/>
    <n v="11"/>
    <n v="87"/>
    <x v="1"/>
    <x v="2"/>
  </r>
  <r>
    <s v="P1013"/>
    <x v="3"/>
    <x v="2"/>
    <x v="4"/>
    <x v="0"/>
    <n v="65"/>
    <n v="20591.650000000001"/>
    <n v="28"/>
    <n v="52"/>
    <x v="0"/>
    <x v="2"/>
  </r>
  <r>
    <s v="P1014"/>
    <x v="0"/>
    <x v="2"/>
    <x v="0"/>
    <x v="0"/>
    <n v="13"/>
    <n v="59149.07"/>
    <n v="19"/>
    <n v="86"/>
    <x v="0"/>
    <x v="5"/>
  </r>
  <r>
    <s v="P1015"/>
    <x v="0"/>
    <x v="3"/>
    <x v="3"/>
    <x v="1"/>
    <n v="39"/>
    <n v="59335.72"/>
    <n v="28"/>
    <n v="80"/>
    <x v="0"/>
    <x v="4"/>
  </r>
  <r>
    <s v="P1016"/>
    <x v="2"/>
    <x v="1"/>
    <x v="0"/>
    <x v="1"/>
    <n v="85"/>
    <n v="101936.34"/>
    <n v="27"/>
    <n v="99"/>
    <x v="1"/>
    <x v="2"/>
  </r>
  <r>
    <s v="P1017"/>
    <x v="2"/>
    <x v="3"/>
    <x v="0"/>
    <x v="1"/>
    <n v="52"/>
    <n v="107481.12"/>
    <n v="8"/>
    <n v="93"/>
    <x v="1"/>
    <x v="1"/>
  </r>
  <r>
    <s v="P1018"/>
    <x v="5"/>
    <x v="0"/>
    <x v="2"/>
    <x v="1"/>
    <n v="25"/>
    <n v="142574.53"/>
    <n v="30"/>
    <n v="99"/>
    <x v="1"/>
    <x v="3"/>
  </r>
  <r>
    <s v="P1019"/>
    <x v="1"/>
    <x v="3"/>
    <x v="2"/>
    <x v="1"/>
    <n v="1"/>
    <n v="43174.44"/>
    <n v="24"/>
    <n v="100"/>
    <x v="0"/>
    <x v="6"/>
  </r>
  <r>
    <s v="P1020"/>
    <x v="4"/>
    <x v="1"/>
    <x v="0"/>
    <x v="0"/>
    <n v="3"/>
    <n v="125171.58"/>
    <n v="30"/>
    <n v="89"/>
    <x v="1"/>
    <x v="6"/>
  </r>
  <r>
    <s v="P1021"/>
    <x v="1"/>
    <x v="0"/>
    <x v="3"/>
    <x v="1"/>
    <n v="31"/>
    <n v="51842.34"/>
    <n v="15"/>
    <n v="74"/>
    <x v="0"/>
    <x v="4"/>
  </r>
  <r>
    <s v="P1022"/>
    <x v="5"/>
    <x v="0"/>
    <x v="3"/>
    <x v="1"/>
    <n v="66"/>
    <n v="30547.73"/>
    <n v="11"/>
    <n v="47"/>
    <x v="0"/>
    <x v="2"/>
  </r>
  <r>
    <s v="P1023"/>
    <x v="2"/>
    <x v="0"/>
    <x v="4"/>
    <x v="1"/>
    <n v="68"/>
    <n v="68961.679999999993"/>
    <n v="5"/>
    <n v="67"/>
    <x v="0"/>
    <x v="2"/>
  </r>
  <r>
    <s v="P1024"/>
    <x v="5"/>
    <x v="0"/>
    <x v="4"/>
    <x v="2"/>
    <n v="75"/>
    <n v="89887.05"/>
    <n v="28"/>
    <n v="92"/>
    <x v="1"/>
    <x v="2"/>
  </r>
  <r>
    <s v="P1025"/>
    <x v="1"/>
    <x v="1"/>
    <x v="0"/>
    <x v="1"/>
    <n v="35"/>
    <n v="54350.5"/>
    <n v="24"/>
    <n v="70"/>
    <x v="0"/>
    <x v="4"/>
  </r>
  <r>
    <s v="P1026"/>
    <x v="4"/>
    <x v="0"/>
    <x v="2"/>
    <x v="1"/>
    <n v="56"/>
    <n v="47635.12"/>
    <n v="3"/>
    <n v="47"/>
    <x v="0"/>
    <x v="1"/>
  </r>
  <r>
    <s v="P1027"/>
    <x v="2"/>
    <x v="3"/>
    <x v="2"/>
    <x v="2"/>
    <n v="34"/>
    <n v="136077.99"/>
    <n v="25"/>
    <n v="58"/>
    <x v="1"/>
    <x v="4"/>
  </r>
  <r>
    <s v="P1028"/>
    <x v="3"/>
    <x v="0"/>
    <x v="2"/>
    <x v="1"/>
    <n v="31"/>
    <n v="103276.56"/>
    <n v="30"/>
    <n v="84"/>
    <x v="1"/>
    <x v="4"/>
  </r>
  <r>
    <s v="P1029"/>
    <x v="0"/>
    <x v="3"/>
    <x v="3"/>
    <x v="1"/>
    <n v="25"/>
    <n v="38676.85"/>
    <n v="9"/>
    <n v="70"/>
    <x v="0"/>
    <x v="3"/>
  </r>
  <r>
    <s v="P1030"/>
    <x v="0"/>
    <x v="3"/>
    <x v="4"/>
    <x v="2"/>
    <n v="86"/>
    <n v="35788.22"/>
    <n v="3"/>
    <n v="66"/>
    <x v="0"/>
    <x v="2"/>
  </r>
  <r>
    <s v="P1031"/>
    <x v="5"/>
    <x v="1"/>
    <x v="0"/>
    <x v="1"/>
    <n v="79"/>
    <n v="140415.63"/>
    <n v="16"/>
    <n v="67"/>
    <x v="1"/>
    <x v="2"/>
  </r>
  <r>
    <s v="P1032"/>
    <x v="2"/>
    <x v="3"/>
    <x v="3"/>
    <x v="1"/>
    <n v="51"/>
    <n v="143365.82999999999"/>
    <n v="1"/>
    <n v="58"/>
    <x v="1"/>
    <x v="1"/>
  </r>
  <r>
    <s v="P1033"/>
    <x v="0"/>
    <x v="1"/>
    <x v="1"/>
    <x v="1"/>
    <n v="1"/>
    <n v="101058.07"/>
    <n v="4"/>
    <n v="81"/>
    <x v="1"/>
    <x v="6"/>
  </r>
  <r>
    <s v="P1034"/>
    <x v="2"/>
    <x v="0"/>
    <x v="0"/>
    <x v="2"/>
    <n v="58"/>
    <n v="41426.04"/>
    <n v="6"/>
    <n v="67"/>
    <x v="0"/>
    <x v="1"/>
  </r>
  <r>
    <s v="P1035"/>
    <x v="2"/>
    <x v="2"/>
    <x v="1"/>
    <x v="0"/>
    <n v="15"/>
    <n v="131454.59"/>
    <n v="30"/>
    <n v="83"/>
    <x v="1"/>
    <x v="5"/>
  </r>
  <r>
    <s v="P1036"/>
    <x v="0"/>
    <x v="1"/>
    <x v="4"/>
    <x v="0"/>
    <n v="5"/>
    <n v="48581.36"/>
    <n v="16"/>
    <n v="40"/>
    <x v="0"/>
    <x v="6"/>
  </r>
  <r>
    <s v="P1037"/>
    <x v="1"/>
    <x v="0"/>
    <x v="1"/>
    <x v="0"/>
    <n v="41"/>
    <n v="143381.07"/>
    <n v="1"/>
    <n v="87"/>
    <x v="1"/>
    <x v="4"/>
  </r>
  <r>
    <s v="P1038"/>
    <x v="1"/>
    <x v="0"/>
    <x v="1"/>
    <x v="1"/>
    <n v="3"/>
    <n v="50045.440000000002"/>
    <n v="15"/>
    <n v="84"/>
    <x v="0"/>
    <x v="6"/>
  </r>
  <r>
    <s v="P1039"/>
    <x v="2"/>
    <x v="0"/>
    <x v="1"/>
    <x v="2"/>
    <n v="58"/>
    <n v="86479.95"/>
    <n v="1"/>
    <n v="75"/>
    <x v="1"/>
    <x v="1"/>
  </r>
  <r>
    <s v="P1040"/>
    <x v="1"/>
    <x v="3"/>
    <x v="2"/>
    <x v="1"/>
    <n v="14"/>
    <n v="9067.3799999999992"/>
    <n v="28"/>
    <n v="86"/>
    <x v="0"/>
    <x v="5"/>
  </r>
  <r>
    <s v="P1041"/>
    <x v="1"/>
    <x v="2"/>
    <x v="2"/>
    <x v="1"/>
    <n v="31"/>
    <n v="113414.83"/>
    <n v="8"/>
    <n v="70"/>
    <x v="1"/>
    <x v="4"/>
  </r>
  <r>
    <s v="P1042"/>
    <x v="4"/>
    <x v="1"/>
    <x v="0"/>
    <x v="1"/>
    <n v="85"/>
    <n v="78946.19"/>
    <n v="3"/>
    <n v="48"/>
    <x v="1"/>
    <x v="2"/>
  </r>
  <r>
    <s v="P1043"/>
    <x v="0"/>
    <x v="0"/>
    <x v="3"/>
    <x v="1"/>
    <n v="22"/>
    <n v="100035.91"/>
    <n v="29"/>
    <n v="70"/>
    <x v="1"/>
    <x v="3"/>
  </r>
  <r>
    <s v="P1044"/>
    <x v="1"/>
    <x v="2"/>
    <x v="2"/>
    <x v="1"/>
    <n v="62"/>
    <n v="149340.16"/>
    <n v="18"/>
    <n v="49"/>
    <x v="1"/>
    <x v="2"/>
  </r>
  <r>
    <s v="P1045"/>
    <x v="0"/>
    <x v="0"/>
    <x v="0"/>
    <x v="0"/>
    <n v="79"/>
    <n v="105328.19"/>
    <n v="26"/>
    <n v="94"/>
    <x v="1"/>
    <x v="2"/>
  </r>
  <r>
    <s v="P1046"/>
    <x v="0"/>
    <x v="2"/>
    <x v="0"/>
    <x v="2"/>
    <n v="19"/>
    <n v="21826.12"/>
    <n v="17"/>
    <n v="48"/>
    <x v="0"/>
    <x v="5"/>
  </r>
  <r>
    <s v="P1047"/>
    <x v="5"/>
    <x v="0"/>
    <x v="4"/>
    <x v="1"/>
    <n v="37"/>
    <n v="77556.53"/>
    <n v="24"/>
    <n v="87"/>
    <x v="1"/>
    <x v="4"/>
  </r>
  <r>
    <s v="P1048"/>
    <x v="5"/>
    <x v="2"/>
    <x v="3"/>
    <x v="1"/>
    <n v="30"/>
    <n v="53806.86"/>
    <n v="21"/>
    <n v="82"/>
    <x v="0"/>
    <x v="4"/>
  </r>
  <r>
    <s v="P1049"/>
    <x v="1"/>
    <x v="3"/>
    <x v="0"/>
    <x v="1"/>
    <n v="66"/>
    <n v="84096.91"/>
    <n v="18"/>
    <n v="91"/>
    <x v="1"/>
    <x v="2"/>
  </r>
  <r>
    <s v="P1050"/>
    <x v="0"/>
    <x v="2"/>
    <x v="0"/>
    <x v="1"/>
    <n v="22"/>
    <n v="46384.67"/>
    <n v="3"/>
    <n v="84"/>
    <x v="0"/>
    <x v="3"/>
  </r>
  <r>
    <s v="P1051"/>
    <x v="0"/>
    <x v="2"/>
    <x v="1"/>
    <x v="1"/>
    <n v="60"/>
    <n v="122442.43"/>
    <n v="6"/>
    <n v="94"/>
    <x v="1"/>
    <x v="2"/>
  </r>
  <r>
    <s v="P1052"/>
    <x v="4"/>
    <x v="1"/>
    <x v="0"/>
    <x v="2"/>
    <n v="35"/>
    <n v="73863.679999999993"/>
    <n v="17"/>
    <n v="42"/>
    <x v="0"/>
    <x v="4"/>
  </r>
  <r>
    <s v="P1053"/>
    <x v="2"/>
    <x v="0"/>
    <x v="2"/>
    <x v="0"/>
    <n v="21"/>
    <n v="75334.19"/>
    <n v="23"/>
    <n v="51"/>
    <x v="1"/>
    <x v="3"/>
  </r>
  <r>
    <s v="P1054"/>
    <x v="4"/>
    <x v="2"/>
    <x v="1"/>
    <x v="2"/>
    <n v="51"/>
    <n v="59829.99"/>
    <n v="2"/>
    <n v="40"/>
    <x v="0"/>
    <x v="1"/>
  </r>
  <r>
    <s v="P1055"/>
    <x v="4"/>
    <x v="2"/>
    <x v="4"/>
    <x v="0"/>
    <n v="87"/>
    <n v="5444.8"/>
    <n v="5"/>
    <n v="42"/>
    <x v="0"/>
    <x v="2"/>
  </r>
  <r>
    <s v="P1056"/>
    <x v="3"/>
    <x v="0"/>
    <x v="1"/>
    <x v="1"/>
    <n v="11"/>
    <n v="39022.85"/>
    <n v="8"/>
    <n v="96"/>
    <x v="0"/>
    <x v="0"/>
  </r>
  <r>
    <s v="P1057"/>
    <x v="1"/>
    <x v="0"/>
    <x v="0"/>
    <x v="1"/>
    <n v="7"/>
    <n v="127110.45"/>
    <n v="30"/>
    <n v="100"/>
    <x v="1"/>
    <x v="0"/>
  </r>
  <r>
    <s v="P1058"/>
    <x v="3"/>
    <x v="1"/>
    <x v="1"/>
    <x v="2"/>
    <n v="80"/>
    <n v="120082.46"/>
    <n v="16"/>
    <n v="93"/>
    <x v="1"/>
    <x v="2"/>
  </r>
  <r>
    <s v="P1059"/>
    <x v="1"/>
    <x v="2"/>
    <x v="1"/>
    <x v="1"/>
    <n v="75"/>
    <n v="79671.37"/>
    <n v="30"/>
    <n v="43"/>
    <x v="1"/>
    <x v="2"/>
  </r>
  <r>
    <s v="P1060"/>
    <x v="0"/>
    <x v="3"/>
    <x v="0"/>
    <x v="1"/>
    <n v="7"/>
    <n v="66277.52"/>
    <n v="26"/>
    <n v="69"/>
    <x v="0"/>
    <x v="0"/>
  </r>
  <r>
    <s v="P1061"/>
    <x v="2"/>
    <x v="0"/>
    <x v="4"/>
    <x v="0"/>
    <n v="14"/>
    <n v="12241.3"/>
    <n v="20"/>
    <n v="40"/>
    <x v="0"/>
    <x v="5"/>
  </r>
  <r>
    <s v="P1062"/>
    <x v="5"/>
    <x v="2"/>
    <x v="1"/>
    <x v="1"/>
    <n v="22"/>
    <n v="133882.43"/>
    <n v="29"/>
    <n v="63"/>
    <x v="1"/>
    <x v="3"/>
  </r>
  <r>
    <s v="P1063"/>
    <x v="3"/>
    <x v="3"/>
    <x v="0"/>
    <x v="2"/>
    <n v="73"/>
    <n v="148488.95000000001"/>
    <n v="22"/>
    <n v="77"/>
    <x v="1"/>
    <x v="2"/>
  </r>
  <r>
    <s v="P1064"/>
    <x v="4"/>
    <x v="1"/>
    <x v="0"/>
    <x v="2"/>
    <n v="5"/>
    <n v="74239.37"/>
    <n v="7"/>
    <n v="61"/>
    <x v="0"/>
    <x v="6"/>
  </r>
  <r>
    <s v="P1065"/>
    <x v="2"/>
    <x v="1"/>
    <x v="4"/>
    <x v="1"/>
    <n v="6"/>
    <n v="98732.94"/>
    <n v="25"/>
    <n v="45"/>
    <x v="1"/>
    <x v="0"/>
  </r>
  <r>
    <s v="P1066"/>
    <x v="0"/>
    <x v="0"/>
    <x v="2"/>
    <x v="0"/>
    <n v="4"/>
    <n v="66339.33"/>
    <n v="5"/>
    <n v="77"/>
    <x v="0"/>
    <x v="6"/>
  </r>
  <r>
    <s v="P1067"/>
    <x v="0"/>
    <x v="1"/>
    <x v="4"/>
    <x v="1"/>
    <n v="14"/>
    <n v="113363.27"/>
    <n v="9"/>
    <n v="74"/>
    <x v="1"/>
    <x v="5"/>
  </r>
  <r>
    <s v="P1068"/>
    <x v="0"/>
    <x v="1"/>
    <x v="4"/>
    <x v="0"/>
    <n v="11"/>
    <n v="24492.09"/>
    <n v="8"/>
    <n v="58"/>
    <x v="0"/>
    <x v="0"/>
  </r>
  <r>
    <s v="P1069"/>
    <x v="3"/>
    <x v="1"/>
    <x v="4"/>
    <x v="0"/>
    <n v="19"/>
    <n v="42080.85"/>
    <n v="29"/>
    <n v="65"/>
    <x v="0"/>
    <x v="5"/>
  </r>
  <r>
    <s v="P1070"/>
    <x v="4"/>
    <x v="1"/>
    <x v="2"/>
    <x v="2"/>
    <n v="56"/>
    <n v="147658.16"/>
    <n v="11"/>
    <n v="96"/>
    <x v="1"/>
    <x v="1"/>
  </r>
  <r>
    <s v="P1071"/>
    <x v="2"/>
    <x v="1"/>
    <x v="0"/>
    <x v="0"/>
    <n v="40"/>
    <n v="79386.600000000006"/>
    <n v="21"/>
    <n v="67"/>
    <x v="1"/>
    <x v="4"/>
  </r>
  <r>
    <s v="P1072"/>
    <x v="5"/>
    <x v="3"/>
    <x v="1"/>
    <x v="1"/>
    <n v="6"/>
    <n v="22175.37"/>
    <n v="17"/>
    <n v="82"/>
    <x v="0"/>
    <x v="0"/>
  </r>
  <r>
    <s v="P1073"/>
    <x v="4"/>
    <x v="2"/>
    <x v="0"/>
    <x v="2"/>
    <n v="62"/>
    <n v="16296.15"/>
    <n v="28"/>
    <n v="63"/>
    <x v="0"/>
    <x v="2"/>
  </r>
  <r>
    <s v="P1074"/>
    <x v="4"/>
    <x v="3"/>
    <x v="0"/>
    <x v="2"/>
    <n v="56"/>
    <n v="120488.57"/>
    <n v="30"/>
    <n v="48"/>
    <x v="1"/>
    <x v="1"/>
  </r>
  <r>
    <s v="P1075"/>
    <x v="2"/>
    <x v="2"/>
    <x v="0"/>
    <x v="0"/>
    <n v="8"/>
    <n v="111873.66"/>
    <n v="16"/>
    <n v="74"/>
    <x v="1"/>
    <x v="0"/>
  </r>
  <r>
    <s v="P1076"/>
    <x v="2"/>
    <x v="1"/>
    <x v="2"/>
    <x v="1"/>
    <n v="62"/>
    <n v="27610.65"/>
    <n v="26"/>
    <n v="72"/>
    <x v="0"/>
    <x v="2"/>
  </r>
  <r>
    <s v="P1077"/>
    <x v="2"/>
    <x v="3"/>
    <x v="4"/>
    <x v="2"/>
    <n v="17"/>
    <n v="142458.98000000001"/>
    <n v="6"/>
    <n v="69"/>
    <x v="1"/>
    <x v="5"/>
  </r>
  <r>
    <s v="P1078"/>
    <x v="2"/>
    <x v="0"/>
    <x v="2"/>
    <x v="2"/>
    <n v="7"/>
    <n v="23799.83"/>
    <n v="26"/>
    <n v="52"/>
    <x v="0"/>
    <x v="0"/>
  </r>
  <r>
    <s v="P1079"/>
    <x v="5"/>
    <x v="3"/>
    <x v="0"/>
    <x v="2"/>
    <n v="49"/>
    <n v="117019.47"/>
    <n v="28"/>
    <n v="63"/>
    <x v="1"/>
    <x v="1"/>
  </r>
  <r>
    <s v="P1080"/>
    <x v="5"/>
    <x v="0"/>
    <x v="4"/>
    <x v="2"/>
    <n v="12"/>
    <n v="69472.05"/>
    <n v="11"/>
    <n v="68"/>
    <x v="0"/>
    <x v="0"/>
  </r>
  <r>
    <s v="P1081"/>
    <x v="3"/>
    <x v="0"/>
    <x v="4"/>
    <x v="0"/>
    <n v="5"/>
    <n v="64103.040000000001"/>
    <n v="14"/>
    <n v="42"/>
    <x v="0"/>
    <x v="6"/>
  </r>
  <r>
    <s v="P1082"/>
    <x v="2"/>
    <x v="0"/>
    <x v="0"/>
    <x v="2"/>
    <n v="13"/>
    <n v="137441.75"/>
    <n v="23"/>
    <n v="74"/>
    <x v="1"/>
    <x v="5"/>
  </r>
  <r>
    <s v="P1083"/>
    <x v="3"/>
    <x v="0"/>
    <x v="2"/>
    <x v="0"/>
    <n v="71"/>
    <n v="11066.61"/>
    <n v="17"/>
    <n v="86"/>
    <x v="0"/>
    <x v="2"/>
  </r>
  <r>
    <s v="P1084"/>
    <x v="4"/>
    <x v="1"/>
    <x v="3"/>
    <x v="0"/>
    <n v="87"/>
    <n v="36726.76"/>
    <n v="4"/>
    <n v="53"/>
    <x v="0"/>
    <x v="2"/>
  </r>
  <r>
    <s v="P1085"/>
    <x v="1"/>
    <x v="1"/>
    <x v="1"/>
    <x v="2"/>
    <n v="40"/>
    <n v="19717.900000000001"/>
    <n v="20"/>
    <n v="63"/>
    <x v="0"/>
    <x v="4"/>
  </r>
  <r>
    <s v="P1086"/>
    <x v="5"/>
    <x v="1"/>
    <x v="3"/>
    <x v="2"/>
    <n v="63"/>
    <n v="82657.039999999994"/>
    <n v="4"/>
    <n v="55"/>
    <x v="1"/>
    <x v="2"/>
  </r>
  <r>
    <s v="P1087"/>
    <x v="1"/>
    <x v="1"/>
    <x v="1"/>
    <x v="2"/>
    <n v="1"/>
    <n v="16874.009999999998"/>
    <n v="14"/>
    <n v="76"/>
    <x v="0"/>
    <x v="6"/>
  </r>
  <r>
    <s v="P1088"/>
    <x v="1"/>
    <x v="3"/>
    <x v="0"/>
    <x v="1"/>
    <n v="37"/>
    <n v="8578.83"/>
    <n v="2"/>
    <n v="90"/>
    <x v="0"/>
    <x v="4"/>
  </r>
  <r>
    <s v="P1089"/>
    <x v="5"/>
    <x v="0"/>
    <x v="1"/>
    <x v="1"/>
    <n v="7"/>
    <n v="22311.39"/>
    <n v="14"/>
    <n v="86"/>
    <x v="0"/>
    <x v="0"/>
  </r>
  <r>
    <s v="P1090"/>
    <x v="3"/>
    <x v="3"/>
    <x v="0"/>
    <x v="2"/>
    <n v="46"/>
    <n v="128560.01"/>
    <n v="7"/>
    <n v="52"/>
    <x v="1"/>
    <x v="1"/>
  </r>
  <r>
    <s v="P1091"/>
    <x v="4"/>
    <x v="0"/>
    <x v="2"/>
    <x v="2"/>
    <n v="30"/>
    <n v="147742.63"/>
    <n v="28"/>
    <n v="62"/>
    <x v="1"/>
    <x v="4"/>
  </r>
  <r>
    <s v="P1092"/>
    <x v="1"/>
    <x v="0"/>
    <x v="1"/>
    <x v="2"/>
    <n v="66"/>
    <n v="54562.1"/>
    <n v="21"/>
    <n v="86"/>
    <x v="0"/>
    <x v="2"/>
  </r>
  <r>
    <s v="P1093"/>
    <x v="5"/>
    <x v="2"/>
    <x v="2"/>
    <x v="2"/>
    <n v="1"/>
    <n v="146289.26999999999"/>
    <n v="17"/>
    <n v="47"/>
    <x v="1"/>
    <x v="6"/>
  </r>
  <r>
    <s v="P1094"/>
    <x v="4"/>
    <x v="3"/>
    <x v="4"/>
    <x v="2"/>
    <n v="89"/>
    <n v="128840.81"/>
    <n v="22"/>
    <n v="81"/>
    <x v="1"/>
    <x v="2"/>
  </r>
  <r>
    <s v="P1095"/>
    <x v="2"/>
    <x v="1"/>
    <x v="1"/>
    <x v="2"/>
    <n v="48"/>
    <n v="19629.22"/>
    <n v="2"/>
    <n v="95"/>
    <x v="0"/>
    <x v="1"/>
  </r>
  <r>
    <s v="P1096"/>
    <x v="4"/>
    <x v="2"/>
    <x v="4"/>
    <x v="0"/>
    <n v="59"/>
    <n v="73629.03"/>
    <n v="10"/>
    <n v="85"/>
    <x v="0"/>
    <x v="1"/>
  </r>
  <r>
    <s v="P1097"/>
    <x v="3"/>
    <x v="1"/>
    <x v="4"/>
    <x v="2"/>
    <n v="54"/>
    <n v="100747.7"/>
    <n v="12"/>
    <n v="74"/>
    <x v="1"/>
    <x v="1"/>
  </r>
  <r>
    <s v="P1098"/>
    <x v="1"/>
    <x v="0"/>
    <x v="0"/>
    <x v="2"/>
    <n v="35"/>
    <n v="85523.17"/>
    <n v="30"/>
    <n v="90"/>
    <x v="1"/>
    <x v="4"/>
  </r>
  <r>
    <s v="P1099"/>
    <x v="4"/>
    <x v="1"/>
    <x v="2"/>
    <x v="2"/>
    <n v="33"/>
    <n v="79151.14"/>
    <n v="2"/>
    <n v="56"/>
    <x v="1"/>
    <x v="4"/>
  </r>
  <r>
    <s v="P1100"/>
    <x v="5"/>
    <x v="0"/>
    <x v="2"/>
    <x v="0"/>
    <n v="30"/>
    <n v="115395.67"/>
    <n v="11"/>
    <n v="74"/>
    <x v="1"/>
    <x v="4"/>
  </r>
  <r>
    <s v="P1101"/>
    <x v="2"/>
    <x v="2"/>
    <x v="0"/>
    <x v="0"/>
    <n v="60"/>
    <n v="49131.44"/>
    <n v="2"/>
    <n v="44"/>
    <x v="0"/>
    <x v="2"/>
  </r>
  <r>
    <s v="P1102"/>
    <x v="4"/>
    <x v="0"/>
    <x v="2"/>
    <x v="2"/>
    <n v="70"/>
    <n v="58132.5"/>
    <n v="25"/>
    <n v="43"/>
    <x v="0"/>
    <x v="2"/>
  </r>
  <r>
    <s v="P1103"/>
    <x v="5"/>
    <x v="3"/>
    <x v="0"/>
    <x v="0"/>
    <n v="6"/>
    <n v="77311.77"/>
    <n v="19"/>
    <n v="90"/>
    <x v="1"/>
    <x v="0"/>
  </r>
  <r>
    <s v="P1104"/>
    <x v="3"/>
    <x v="2"/>
    <x v="4"/>
    <x v="2"/>
    <n v="70"/>
    <n v="14270.62"/>
    <n v="24"/>
    <n v="43"/>
    <x v="0"/>
    <x v="2"/>
  </r>
  <r>
    <s v="P1105"/>
    <x v="1"/>
    <x v="2"/>
    <x v="3"/>
    <x v="0"/>
    <n v="52"/>
    <n v="97685.72"/>
    <n v="28"/>
    <n v="59"/>
    <x v="1"/>
    <x v="1"/>
  </r>
  <r>
    <s v="P1106"/>
    <x v="0"/>
    <x v="1"/>
    <x v="2"/>
    <x v="1"/>
    <n v="64"/>
    <n v="142687.47"/>
    <n v="27"/>
    <n v="80"/>
    <x v="1"/>
    <x v="2"/>
  </r>
  <r>
    <s v="P1107"/>
    <x v="4"/>
    <x v="2"/>
    <x v="1"/>
    <x v="2"/>
    <n v="35"/>
    <n v="36754.51"/>
    <n v="27"/>
    <n v="49"/>
    <x v="0"/>
    <x v="4"/>
  </r>
  <r>
    <s v="P1108"/>
    <x v="1"/>
    <x v="1"/>
    <x v="1"/>
    <x v="2"/>
    <n v="62"/>
    <n v="34938.57"/>
    <n v="8"/>
    <n v="70"/>
    <x v="0"/>
    <x v="2"/>
  </r>
  <r>
    <s v="P1109"/>
    <x v="2"/>
    <x v="2"/>
    <x v="0"/>
    <x v="0"/>
    <n v="22"/>
    <n v="97228.49"/>
    <n v="7"/>
    <n v="60"/>
    <x v="1"/>
    <x v="3"/>
  </r>
  <r>
    <s v="P1110"/>
    <x v="3"/>
    <x v="2"/>
    <x v="1"/>
    <x v="0"/>
    <n v="42"/>
    <n v="91441.1"/>
    <n v="22"/>
    <n v="84"/>
    <x v="1"/>
    <x v="4"/>
  </r>
  <r>
    <s v="P1111"/>
    <x v="0"/>
    <x v="3"/>
    <x v="4"/>
    <x v="0"/>
    <n v="24"/>
    <n v="139624.06"/>
    <n v="5"/>
    <n v="55"/>
    <x v="1"/>
    <x v="3"/>
  </r>
  <r>
    <s v="P1112"/>
    <x v="3"/>
    <x v="1"/>
    <x v="0"/>
    <x v="2"/>
    <n v="17"/>
    <n v="86650.5"/>
    <n v="3"/>
    <n v="53"/>
    <x v="1"/>
    <x v="5"/>
  </r>
  <r>
    <s v="P1113"/>
    <x v="4"/>
    <x v="0"/>
    <x v="1"/>
    <x v="1"/>
    <n v="75"/>
    <n v="85517.09"/>
    <n v="6"/>
    <n v="79"/>
    <x v="1"/>
    <x v="2"/>
  </r>
  <r>
    <s v="P1114"/>
    <x v="0"/>
    <x v="0"/>
    <x v="1"/>
    <x v="0"/>
    <n v="47"/>
    <n v="134120.62"/>
    <n v="11"/>
    <n v="92"/>
    <x v="1"/>
    <x v="1"/>
  </r>
  <r>
    <s v="P1115"/>
    <x v="2"/>
    <x v="3"/>
    <x v="2"/>
    <x v="2"/>
    <n v="81"/>
    <n v="22593.06"/>
    <n v="6"/>
    <n v="67"/>
    <x v="0"/>
    <x v="2"/>
  </r>
  <r>
    <s v="P1116"/>
    <x v="0"/>
    <x v="2"/>
    <x v="2"/>
    <x v="1"/>
    <n v="20"/>
    <n v="88741.64"/>
    <n v="26"/>
    <n v="99"/>
    <x v="1"/>
    <x v="3"/>
  </r>
  <r>
    <s v="P1117"/>
    <x v="0"/>
    <x v="1"/>
    <x v="1"/>
    <x v="1"/>
    <n v="14"/>
    <n v="10917.19"/>
    <n v="22"/>
    <n v="43"/>
    <x v="0"/>
    <x v="5"/>
  </r>
  <r>
    <s v="P1118"/>
    <x v="0"/>
    <x v="3"/>
    <x v="4"/>
    <x v="0"/>
    <n v="30"/>
    <n v="97613.71"/>
    <n v="24"/>
    <n v="72"/>
    <x v="1"/>
    <x v="4"/>
  </r>
  <r>
    <s v="P1119"/>
    <x v="5"/>
    <x v="3"/>
    <x v="2"/>
    <x v="0"/>
    <n v="81"/>
    <n v="135711.26999999999"/>
    <n v="14"/>
    <n v="99"/>
    <x v="1"/>
    <x v="2"/>
  </r>
  <r>
    <s v="P1120"/>
    <x v="1"/>
    <x v="1"/>
    <x v="2"/>
    <x v="0"/>
    <n v="48"/>
    <n v="117464.18"/>
    <n v="2"/>
    <n v="61"/>
    <x v="1"/>
    <x v="1"/>
  </r>
  <r>
    <s v="P1121"/>
    <x v="2"/>
    <x v="1"/>
    <x v="2"/>
    <x v="2"/>
    <n v="45"/>
    <n v="89474.55"/>
    <n v="21"/>
    <n v="64"/>
    <x v="1"/>
    <x v="1"/>
  </r>
  <r>
    <s v="P1122"/>
    <x v="0"/>
    <x v="3"/>
    <x v="4"/>
    <x v="2"/>
    <n v="1"/>
    <n v="105954.09"/>
    <n v="12"/>
    <n v="95"/>
    <x v="1"/>
    <x v="6"/>
  </r>
  <r>
    <s v="P1123"/>
    <x v="1"/>
    <x v="2"/>
    <x v="3"/>
    <x v="0"/>
    <n v="30"/>
    <n v="91267.91"/>
    <n v="17"/>
    <n v="76"/>
    <x v="1"/>
    <x v="4"/>
  </r>
  <r>
    <s v="P1124"/>
    <x v="5"/>
    <x v="0"/>
    <x v="3"/>
    <x v="0"/>
    <n v="3"/>
    <n v="46506.94"/>
    <n v="9"/>
    <n v="72"/>
    <x v="0"/>
    <x v="6"/>
  </r>
  <r>
    <s v="P1125"/>
    <x v="4"/>
    <x v="3"/>
    <x v="1"/>
    <x v="0"/>
    <n v="78"/>
    <n v="40568.300000000003"/>
    <n v="18"/>
    <n v="91"/>
    <x v="0"/>
    <x v="2"/>
  </r>
  <r>
    <s v="P1126"/>
    <x v="2"/>
    <x v="0"/>
    <x v="4"/>
    <x v="1"/>
    <n v="35"/>
    <n v="132265.98000000001"/>
    <n v="7"/>
    <n v="45"/>
    <x v="1"/>
    <x v="4"/>
  </r>
  <r>
    <s v="P1127"/>
    <x v="1"/>
    <x v="3"/>
    <x v="2"/>
    <x v="1"/>
    <n v="88"/>
    <n v="50993.47"/>
    <n v="4"/>
    <n v="82"/>
    <x v="0"/>
    <x v="2"/>
  </r>
  <r>
    <s v="P1128"/>
    <x v="2"/>
    <x v="3"/>
    <x v="1"/>
    <x v="1"/>
    <n v="7"/>
    <n v="135590.48000000001"/>
    <n v="6"/>
    <n v="46"/>
    <x v="1"/>
    <x v="0"/>
  </r>
  <r>
    <s v="P1129"/>
    <x v="1"/>
    <x v="3"/>
    <x v="4"/>
    <x v="0"/>
    <n v="73"/>
    <n v="148956.56"/>
    <n v="6"/>
    <n v="100"/>
    <x v="1"/>
    <x v="2"/>
  </r>
  <r>
    <s v="P1130"/>
    <x v="3"/>
    <x v="1"/>
    <x v="0"/>
    <x v="1"/>
    <n v="83"/>
    <n v="71584.960000000006"/>
    <n v="26"/>
    <n v="55"/>
    <x v="0"/>
    <x v="2"/>
  </r>
  <r>
    <s v="P1131"/>
    <x v="2"/>
    <x v="2"/>
    <x v="1"/>
    <x v="2"/>
    <n v="37"/>
    <n v="78613.16"/>
    <n v="20"/>
    <n v="85"/>
    <x v="1"/>
    <x v="4"/>
  </r>
  <r>
    <s v="P1132"/>
    <x v="2"/>
    <x v="0"/>
    <x v="2"/>
    <x v="1"/>
    <n v="53"/>
    <n v="103548.4"/>
    <n v="27"/>
    <n v="74"/>
    <x v="1"/>
    <x v="1"/>
  </r>
  <r>
    <s v="P1133"/>
    <x v="4"/>
    <x v="0"/>
    <x v="4"/>
    <x v="2"/>
    <n v="50"/>
    <n v="62134.18"/>
    <n v="13"/>
    <n v="40"/>
    <x v="0"/>
    <x v="1"/>
  </r>
  <r>
    <s v="P1134"/>
    <x v="5"/>
    <x v="3"/>
    <x v="4"/>
    <x v="1"/>
    <n v="7"/>
    <n v="59235.13"/>
    <n v="12"/>
    <n v="42"/>
    <x v="0"/>
    <x v="0"/>
  </r>
  <r>
    <s v="P1135"/>
    <x v="0"/>
    <x v="2"/>
    <x v="4"/>
    <x v="1"/>
    <n v="38"/>
    <n v="118022.05"/>
    <n v="17"/>
    <n v="79"/>
    <x v="1"/>
    <x v="4"/>
  </r>
  <r>
    <s v="P1136"/>
    <x v="3"/>
    <x v="0"/>
    <x v="3"/>
    <x v="0"/>
    <n v="49"/>
    <n v="127750.62"/>
    <n v="18"/>
    <n v="60"/>
    <x v="1"/>
    <x v="1"/>
  </r>
  <r>
    <s v="P1137"/>
    <x v="1"/>
    <x v="2"/>
    <x v="1"/>
    <x v="2"/>
    <n v="27"/>
    <n v="79666.86"/>
    <n v="16"/>
    <n v="85"/>
    <x v="1"/>
    <x v="3"/>
  </r>
  <r>
    <s v="P1138"/>
    <x v="2"/>
    <x v="3"/>
    <x v="0"/>
    <x v="0"/>
    <n v="65"/>
    <n v="120956.04"/>
    <n v="25"/>
    <n v="95"/>
    <x v="1"/>
    <x v="2"/>
  </r>
  <r>
    <s v="P1139"/>
    <x v="0"/>
    <x v="2"/>
    <x v="3"/>
    <x v="1"/>
    <n v="58"/>
    <n v="100338.81"/>
    <n v="7"/>
    <n v="59"/>
    <x v="1"/>
    <x v="1"/>
  </r>
  <r>
    <s v="P1140"/>
    <x v="4"/>
    <x v="2"/>
    <x v="0"/>
    <x v="0"/>
    <n v="22"/>
    <n v="120621.62"/>
    <n v="21"/>
    <n v="74"/>
    <x v="1"/>
    <x v="3"/>
  </r>
  <r>
    <s v="P1141"/>
    <x v="0"/>
    <x v="2"/>
    <x v="2"/>
    <x v="1"/>
    <n v="10"/>
    <n v="21143.75"/>
    <n v="2"/>
    <n v="42"/>
    <x v="0"/>
    <x v="0"/>
  </r>
  <r>
    <s v="P1142"/>
    <x v="4"/>
    <x v="2"/>
    <x v="4"/>
    <x v="2"/>
    <n v="37"/>
    <n v="58168.06"/>
    <n v="3"/>
    <n v="84"/>
    <x v="0"/>
    <x v="4"/>
  </r>
  <r>
    <s v="P1143"/>
    <x v="1"/>
    <x v="3"/>
    <x v="4"/>
    <x v="0"/>
    <n v="57"/>
    <n v="121600.57"/>
    <n v="19"/>
    <n v="94"/>
    <x v="1"/>
    <x v="1"/>
  </r>
  <r>
    <s v="P1144"/>
    <x v="3"/>
    <x v="1"/>
    <x v="3"/>
    <x v="1"/>
    <n v="26"/>
    <n v="60409.31"/>
    <n v="25"/>
    <n v="94"/>
    <x v="0"/>
    <x v="3"/>
  </r>
  <r>
    <s v="P1145"/>
    <x v="0"/>
    <x v="1"/>
    <x v="2"/>
    <x v="1"/>
    <n v="51"/>
    <n v="148766.01"/>
    <n v="21"/>
    <n v="76"/>
    <x v="1"/>
    <x v="1"/>
  </r>
  <r>
    <s v="P1146"/>
    <x v="0"/>
    <x v="2"/>
    <x v="3"/>
    <x v="1"/>
    <n v="1"/>
    <n v="46211.03"/>
    <n v="4"/>
    <n v="97"/>
    <x v="0"/>
    <x v="6"/>
  </r>
  <r>
    <s v="P1147"/>
    <x v="5"/>
    <x v="0"/>
    <x v="3"/>
    <x v="1"/>
    <n v="61"/>
    <n v="32781.94"/>
    <n v="1"/>
    <n v="83"/>
    <x v="0"/>
    <x v="2"/>
  </r>
  <r>
    <s v="P1148"/>
    <x v="5"/>
    <x v="1"/>
    <x v="1"/>
    <x v="2"/>
    <n v="34"/>
    <n v="139264.72"/>
    <n v="14"/>
    <n v="72"/>
    <x v="1"/>
    <x v="4"/>
  </r>
  <r>
    <s v="P1149"/>
    <x v="1"/>
    <x v="0"/>
    <x v="4"/>
    <x v="0"/>
    <n v="78"/>
    <n v="15165.98"/>
    <n v="25"/>
    <n v="86"/>
    <x v="0"/>
    <x v="2"/>
  </r>
  <r>
    <s v="P1150"/>
    <x v="0"/>
    <x v="2"/>
    <x v="1"/>
    <x v="1"/>
    <n v="73"/>
    <n v="133910.69"/>
    <n v="22"/>
    <n v="87"/>
    <x v="1"/>
    <x v="2"/>
  </r>
  <r>
    <s v="P1151"/>
    <x v="3"/>
    <x v="2"/>
    <x v="0"/>
    <x v="1"/>
    <n v="8"/>
    <n v="82835.539999999994"/>
    <n v="24"/>
    <n v="94"/>
    <x v="1"/>
    <x v="0"/>
  </r>
  <r>
    <s v="P1152"/>
    <x v="0"/>
    <x v="1"/>
    <x v="4"/>
    <x v="1"/>
    <n v="16"/>
    <n v="109945.06"/>
    <n v="23"/>
    <n v="76"/>
    <x v="1"/>
    <x v="5"/>
  </r>
  <r>
    <s v="P1153"/>
    <x v="0"/>
    <x v="1"/>
    <x v="3"/>
    <x v="2"/>
    <n v="3"/>
    <n v="40894.400000000001"/>
    <n v="20"/>
    <n v="46"/>
    <x v="0"/>
    <x v="6"/>
  </r>
  <r>
    <s v="P1154"/>
    <x v="0"/>
    <x v="1"/>
    <x v="3"/>
    <x v="2"/>
    <n v="28"/>
    <n v="5522.04"/>
    <n v="20"/>
    <n v="95"/>
    <x v="0"/>
    <x v="3"/>
  </r>
  <r>
    <s v="P1155"/>
    <x v="2"/>
    <x v="3"/>
    <x v="3"/>
    <x v="1"/>
    <n v="38"/>
    <n v="121567.96"/>
    <n v="26"/>
    <n v="65"/>
    <x v="1"/>
    <x v="4"/>
  </r>
  <r>
    <s v="P1156"/>
    <x v="0"/>
    <x v="3"/>
    <x v="4"/>
    <x v="0"/>
    <n v="2"/>
    <n v="14606.74"/>
    <n v="30"/>
    <n v="75"/>
    <x v="0"/>
    <x v="6"/>
  </r>
  <r>
    <s v="P1157"/>
    <x v="1"/>
    <x v="2"/>
    <x v="2"/>
    <x v="1"/>
    <n v="6"/>
    <n v="116568.72"/>
    <n v="24"/>
    <n v="65"/>
    <x v="1"/>
    <x v="0"/>
  </r>
  <r>
    <s v="P1158"/>
    <x v="3"/>
    <x v="1"/>
    <x v="4"/>
    <x v="1"/>
    <n v="33"/>
    <n v="70189.8"/>
    <n v="14"/>
    <n v="88"/>
    <x v="0"/>
    <x v="4"/>
  </r>
  <r>
    <s v="P1159"/>
    <x v="5"/>
    <x v="1"/>
    <x v="3"/>
    <x v="2"/>
    <n v="28"/>
    <n v="136392.39000000001"/>
    <n v="22"/>
    <n v="77"/>
    <x v="1"/>
    <x v="3"/>
  </r>
  <r>
    <s v="P1160"/>
    <x v="5"/>
    <x v="3"/>
    <x v="3"/>
    <x v="2"/>
    <n v="56"/>
    <n v="139281.34"/>
    <n v="24"/>
    <n v="96"/>
    <x v="1"/>
    <x v="1"/>
  </r>
  <r>
    <s v="P1161"/>
    <x v="1"/>
    <x v="0"/>
    <x v="3"/>
    <x v="1"/>
    <n v="80"/>
    <n v="140818.37"/>
    <n v="9"/>
    <n v="42"/>
    <x v="1"/>
    <x v="2"/>
  </r>
  <r>
    <s v="P1162"/>
    <x v="4"/>
    <x v="3"/>
    <x v="1"/>
    <x v="1"/>
    <n v="74"/>
    <n v="56018.43"/>
    <n v="7"/>
    <n v="77"/>
    <x v="0"/>
    <x v="2"/>
  </r>
  <r>
    <s v="P1163"/>
    <x v="2"/>
    <x v="3"/>
    <x v="4"/>
    <x v="2"/>
    <n v="72"/>
    <n v="144841.74"/>
    <n v="5"/>
    <n v="57"/>
    <x v="1"/>
    <x v="2"/>
  </r>
  <r>
    <s v="P1164"/>
    <x v="4"/>
    <x v="0"/>
    <x v="2"/>
    <x v="1"/>
    <n v="14"/>
    <n v="123398.79"/>
    <n v="21"/>
    <n v="77"/>
    <x v="1"/>
    <x v="5"/>
  </r>
  <r>
    <s v="P1165"/>
    <x v="1"/>
    <x v="3"/>
    <x v="4"/>
    <x v="1"/>
    <n v="48"/>
    <n v="10911.55"/>
    <n v="19"/>
    <n v="47"/>
    <x v="0"/>
    <x v="1"/>
  </r>
  <r>
    <s v="P1166"/>
    <x v="5"/>
    <x v="1"/>
    <x v="4"/>
    <x v="0"/>
    <n v="87"/>
    <n v="96532.96"/>
    <n v="7"/>
    <n v="93"/>
    <x v="1"/>
    <x v="2"/>
  </r>
  <r>
    <s v="P1167"/>
    <x v="1"/>
    <x v="3"/>
    <x v="4"/>
    <x v="2"/>
    <n v="49"/>
    <n v="126056.09"/>
    <n v="11"/>
    <n v="78"/>
    <x v="1"/>
    <x v="1"/>
  </r>
  <r>
    <s v="P1168"/>
    <x v="5"/>
    <x v="3"/>
    <x v="4"/>
    <x v="2"/>
    <n v="42"/>
    <n v="92788.13"/>
    <n v="4"/>
    <n v="41"/>
    <x v="1"/>
    <x v="4"/>
  </r>
  <r>
    <s v="P1169"/>
    <x v="1"/>
    <x v="0"/>
    <x v="3"/>
    <x v="1"/>
    <n v="36"/>
    <n v="24614.639999999999"/>
    <n v="30"/>
    <n v="57"/>
    <x v="0"/>
    <x v="4"/>
  </r>
  <r>
    <s v="P1170"/>
    <x v="4"/>
    <x v="0"/>
    <x v="0"/>
    <x v="2"/>
    <n v="56"/>
    <n v="36862.400000000001"/>
    <n v="28"/>
    <n v="66"/>
    <x v="0"/>
    <x v="1"/>
  </r>
  <r>
    <s v="P1171"/>
    <x v="0"/>
    <x v="1"/>
    <x v="0"/>
    <x v="1"/>
    <n v="39"/>
    <n v="84065.42"/>
    <n v="28"/>
    <n v="50"/>
    <x v="1"/>
    <x v="4"/>
  </r>
  <r>
    <s v="P1172"/>
    <x v="0"/>
    <x v="3"/>
    <x v="0"/>
    <x v="2"/>
    <n v="42"/>
    <n v="83047.11"/>
    <n v="13"/>
    <n v="50"/>
    <x v="1"/>
    <x v="4"/>
  </r>
  <r>
    <s v="P1173"/>
    <x v="0"/>
    <x v="0"/>
    <x v="3"/>
    <x v="2"/>
    <n v="59"/>
    <n v="96326.11"/>
    <n v="17"/>
    <n v="82"/>
    <x v="1"/>
    <x v="1"/>
  </r>
  <r>
    <s v="P1174"/>
    <x v="5"/>
    <x v="3"/>
    <x v="0"/>
    <x v="1"/>
    <n v="67"/>
    <n v="49487.73"/>
    <n v="27"/>
    <n v="72"/>
    <x v="0"/>
    <x v="2"/>
  </r>
  <r>
    <s v="P1175"/>
    <x v="0"/>
    <x v="3"/>
    <x v="1"/>
    <x v="1"/>
    <n v="11"/>
    <n v="18263.25"/>
    <n v="29"/>
    <n v="83"/>
    <x v="0"/>
    <x v="0"/>
  </r>
  <r>
    <s v="P1176"/>
    <x v="4"/>
    <x v="2"/>
    <x v="0"/>
    <x v="0"/>
    <n v="3"/>
    <n v="149013.84"/>
    <n v="26"/>
    <n v="93"/>
    <x v="1"/>
    <x v="6"/>
  </r>
  <r>
    <s v="P1177"/>
    <x v="2"/>
    <x v="1"/>
    <x v="3"/>
    <x v="2"/>
    <n v="69"/>
    <n v="46708.35"/>
    <n v="1"/>
    <n v="88"/>
    <x v="0"/>
    <x v="2"/>
  </r>
  <r>
    <s v="P1178"/>
    <x v="3"/>
    <x v="0"/>
    <x v="1"/>
    <x v="1"/>
    <n v="54"/>
    <n v="68133.7"/>
    <n v="9"/>
    <n v="60"/>
    <x v="0"/>
    <x v="1"/>
  </r>
  <r>
    <s v="P1179"/>
    <x v="5"/>
    <x v="2"/>
    <x v="0"/>
    <x v="1"/>
    <n v="82"/>
    <n v="19213.509999999998"/>
    <n v="26"/>
    <n v="96"/>
    <x v="0"/>
    <x v="2"/>
  </r>
  <r>
    <s v="P1180"/>
    <x v="3"/>
    <x v="3"/>
    <x v="3"/>
    <x v="1"/>
    <n v="60"/>
    <n v="22138.22"/>
    <n v="3"/>
    <n v="96"/>
    <x v="0"/>
    <x v="2"/>
  </r>
  <r>
    <s v="P1181"/>
    <x v="2"/>
    <x v="1"/>
    <x v="1"/>
    <x v="1"/>
    <n v="65"/>
    <n v="30460.26"/>
    <n v="21"/>
    <n v="63"/>
    <x v="0"/>
    <x v="2"/>
  </r>
  <r>
    <s v="P1182"/>
    <x v="1"/>
    <x v="2"/>
    <x v="2"/>
    <x v="1"/>
    <n v="5"/>
    <n v="52772.62"/>
    <n v="9"/>
    <n v="62"/>
    <x v="0"/>
    <x v="6"/>
  </r>
  <r>
    <s v="P1183"/>
    <x v="2"/>
    <x v="2"/>
    <x v="1"/>
    <x v="1"/>
    <n v="54"/>
    <n v="118241.71"/>
    <n v="24"/>
    <n v="81"/>
    <x v="1"/>
    <x v="1"/>
  </r>
  <r>
    <s v="P1184"/>
    <x v="0"/>
    <x v="1"/>
    <x v="4"/>
    <x v="1"/>
    <n v="64"/>
    <n v="19477.689999999999"/>
    <n v="6"/>
    <n v="65"/>
    <x v="0"/>
    <x v="2"/>
  </r>
  <r>
    <s v="P1185"/>
    <x v="5"/>
    <x v="2"/>
    <x v="2"/>
    <x v="0"/>
    <n v="77"/>
    <n v="114541.22"/>
    <n v="25"/>
    <n v="69"/>
    <x v="1"/>
    <x v="2"/>
  </r>
  <r>
    <s v="P1186"/>
    <x v="5"/>
    <x v="0"/>
    <x v="3"/>
    <x v="0"/>
    <n v="72"/>
    <n v="56437.97"/>
    <n v="21"/>
    <n v="78"/>
    <x v="0"/>
    <x v="2"/>
  </r>
  <r>
    <s v="P1187"/>
    <x v="4"/>
    <x v="1"/>
    <x v="1"/>
    <x v="1"/>
    <n v="86"/>
    <n v="53586.34"/>
    <n v="22"/>
    <n v="96"/>
    <x v="0"/>
    <x v="2"/>
  </r>
  <r>
    <s v="P1188"/>
    <x v="0"/>
    <x v="3"/>
    <x v="1"/>
    <x v="0"/>
    <n v="62"/>
    <n v="13836.03"/>
    <n v="15"/>
    <n v="60"/>
    <x v="0"/>
    <x v="2"/>
  </r>
  <r>
    <s v="P1189"/>
    <x v="1"/>
    <x v="2"/>
    <x v="2"/>
    <x v="1"/>
    <n v="38"/>
    <n v="54960.36"/>
    <n v="26"/>
    <n v="61"/>
    <x v="0"/>
    <x v="4"/>
  </r>
  <r>
    <s v="P1190"/>
    <x v="1"/>
    <x v="1"/>
    <x v="4"/>
    <x v="0"/>
    <n v="70"/>
    <n v="92629.07"/>
    <n v="11"/>
    <n v="96"/>
    <x v="1"/>
    <x v="2"/>
  </r>
  <r>
    <s v="P1191"/>
    <x v="3"/>
    <x v="3"/>
    <x v="4"/>
    <x v="2"/>
    <n v="52"/>
    <n v="69945.08"/>
    <n v="8"/>
    <n v="80"/>
    <x v="0"/>
    <x v="1"/>
  </r>
  <r>
    <s v="P1192"/>
    <x v="2"/>
    <x v="1"/>
    <x v="0"/>
    <x v="0"/>
    <n v="62"/>
    <n v="132120.79"/>
    <n v="25"/>
    <n v="81"/>
    <x v="1"/>
    <x v="2"/>
  </r>
  <r>
    <s v="P1193"/>
    <x v="2"/>
    <x v="1"/>
    <x v="3"/>
    <x v="1"/>
    <n v="22"/>
    <n v="132726.88"/>
    <n v="24"/>
    <n v="54"/>
    <x v="1"/>
    <x v="3"/>
  </r>
  <r>
    <s v="P1194"/>
    <x v="0"/>
    <x v="1"/>
    <x v="1"/>
    <x v="2"/>
    <n v="70"/>
    <n v="40806.769999999997"/>
    <n v="1"/>
    <n v="51"/>
    <x v="0"/>
    <x v="2"/>
  </r>
  <r>
    <s v="P1195"/>
    <x v="3"/>
    <x v="3"/>
    <x v="4"/>
    <x v="0"/>
    <n v="33"/>
    <n v="56926.38"/>
    <n v="11"/>
    <n v="81"/>
    <x v="0"/>
    <x v="4"/>
  </r>
  <r>
    <s v="P1196"/>
    <x v="2"/>
    <x v="1"/>
    <x v="4"/>
    <x v="2"/>
    <n v="1"/>
    <n v="87386.12"/>
    <n v="14"/>
    <n v="63"/>
    <x v="1"/>
    <x v="6"/>
  </r>
  <r>
    <s v="P1197"/>
    <x v="2"/>
    <x v="2"/>
    <x v="0"/>
    <x v="0"/>
    <n v="8"/>
    <n v="7805.22"/>
    <n v="13"/>
    <n v="91"/>
    <x v="0"/>
    <x v="0"/>
  </r>
  <r>
    <s v="P1198"/>
    <x v="2"/>
    <x v="0"/>
    <x v="1"/>
    <x v="1"/>
    <n v="90"/>
    <n v="64936.83"/>
    <n v="23"/>
    <n v="51"/>
    <x v="0"/>
    <x v="2"/>
  </r>
  <r>
    <s v="P1199"/>
    <x v="5"/>
    <x v="3"/>
    <x v="4"/>
    <x v="0"/>
    <n v="21"/>
    <n v="57025.03"/>
    <n v="18"/>
    <n v="50"/>
    <x v="0"/>
    <x v="3"/>
  </r>
  <r>
    <s v="P1200"/>
    <x v="5"/>
    <x v="3"/>
    <x v="2"/>
    <x v="0"/>
    <n v="39"/>
    <n v="145631.91"/>
    <n v="6"/>
    <n v="49"/>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34DA9-E8A2-CD4F-83B4-42DE9ADCF9C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3:B27"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axis="axisRow" showAll="0">
      <items count="4">
        <item x="0"/>
        <item x="1"/>
        <item x="2"/>
        <item t="default"/>
      </items>
    </pivotField>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vg Recovery Score" fld="8" subtotal="average" baseField="0" baseItem="0" numFmtId="2"/>
  </dataField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 chart="9"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F4BCF8-11BA-114A-9D82-8AD7D08DBEA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B21"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axis="axisRow"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Avg Recovery Score" fld="8" subtotal="average" baseField="0" baseItem="0" numFmtId="2"/>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9B8732-EAC2-2F4E-9148-1705C6D04327}" name="PivotTable2" cacheId="2" applyNumberFormats="0" applyBorderFormats="0" applyFontFormats="0" applyPatternFormats="0" applyAlignmentFormats="0" applyWidthHeightFormats="1" dataCaption="Values" updatedVersion="8" minRefreshableVersion="3" printDrill="1" useAutoFormatting="1" itemPrintTitles="1" createdVersion="8" indent="0" outline="1" outlineData="1" multipleFieldFilters="0" chartFormat="11">
  <location ref="A6:D13" firstHeaderRow="0" firstDataRow="1" firstDataCol="1"/>
  <pivotFields count="11">
    <pivotField showAll="0"/>
    <pivotField axis="axisRow"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Avg Recovery Score" fld="8" subtotal="average" baseField="0" baseItem="0" numFmtId="2"/>
    <dataField name="Min Recovery Score" fld="8" subtotal="min" baseField="0" baseItem="0" numFmtId="2"/>
    <dataField name="StdDev Recovery Score" fld="8" subtotal="stdDev"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E8AB51-C021-C74F-ACEC-5BC8534642AF}" name="KP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1">
    <pivotField dataField="1"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dataField="1" showAll="0"/>
    <pivotField dataField="1"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Patients Count" fld="0" subtotal="count" baseField="0" baseItem="0"/>
    <dataField name="Average of Treatment Cost" fld="6" subtotal="average" baseField="0" baseItem="0" numFmtId="2"/>
    <dataField name="Average of Age" fld="5" subtotal="average" baseField="0" baseItem="0" numFmtId="2"/>
    <dataField name="Average of Hospital Stay (Days)" fld="7" subtotal="average" baseField="0" baseItem="0" numFmtId="2"/>
    <dataField name="Average of Recovery Score"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A7E152-5BFD-094A-9BC6-1EB3B93EF5D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2:B50"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items count="3">
        <item x="1"/>
        <item x="0"/>
        <item t="default"/>
      </items>
    </pivotField>
    <pivotField axis="axisRow" showAll="0">
      <items count="8">
        <item x="4"/>
        <item x="0"/>
        <item x="6"/>
        <item x="1"/>
        <item x="2"/>
        <item x="5"/>
        <item x="3"/>
        <item t="default"/>
      </items>
    </pivotField>
  </pivotFields>
  <rowFields count="1">
    <field x="10"/>
  </rowFields>
  <rowItems count="8">
    <i>
      <x/>
    </i>
    <i>
      <x v="1"/>
    </i>
    <i>
      <x v="2"/>
    </i>
    <i>
      <x v="3"/>
    </i>
    <i>
      <x v="4"/>
    </i>
    <i>
      <x v="5"/>
    </i>
    <i>
      <x v="6"/>
    </i>
    <i t="grand">
      <x/>
    </i>
  </rowItems>
  <colItems count="1">
    <i/>
  </colItems>
  <dataFields count="1">
    <dataField name="Avg Recovery Score" fld="8" subtotal="average" baseField="0" baseItem="0" numFmtId="2"/>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9411AD-1067-2240-BB48-242F2B8C8E5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9:B34" firstHeaderRow="1" firstDataRow="1" firstDataCol="1"/>
  <pivotFields count="11">
    <pivotField showAll="0"/>
    <pivotField showAll="0">
      <items count="7">
        <item x="3"/>
        <item x="0"/>
        <item x="4"/>
        <item x="5"/>
        <item x="2"/>
        <item x="1"/>
        <item t="default"/>
      </items>
    </pivotField>
    <pivotField axis="axisRow"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Avg Recovery Score" fld="8" subtotal="average" baseField="0" baseItem="0" numFmtId="2"/>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52ADA9-EA71-1B4A-B3B5-CF53402E3034}"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6:B39"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axis="axisRow" showAll="0">
      <items count="3">
        <item x="1"/>
        <item x="0"/>
        <item t="default"/>
      </items>
    </pivotField>
    <pivotField showAll="0">
      <items count="8">
        <item x="4"/>
        <item x="0"/>
        <item x="6"/>
        <item x="1"/>
        <item x="2"/>
        <item x="5"/>
        <item x="3"/>
        <item t="default"/>
      </items>
    </pivotField>
  </pivotFields>
  <rowFields count="1">
    <field x="9"/>
  </rowFields>
  <rowItems count="3">
    <i>
      <x/>
    </i>
    <i>
      <x v="1"/>
    </i>
    <i t="grand">
      <x/>
    </i>
  </rowItems>
  <colItems count="1">
    <i/>
  </colItems>
  <dataFields count="1">
    <dataField name="Avg Recovery Score" fld="8" subtotal="average" baseField="0" baseItem="0" numFmtId="2"/>
  </dataField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9" count="1" selected="0">
            <x v="0"/>
          </reference>
        </references>
      </pivotArea>
    </chartFormat>
    <chartFormat chart="19" format="3">
      <pivotArea type="data" outline="0" fieldPosition="0">
        <references count="2">
          <reference field="4294967294" count="1" selected="0">
            <x v="0"/>
          </reference>
          <reference field="9"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9" count="1" selected="0">
            <x v="0"/>
          </reference>
        </references>
      </pivotArea>
    </chartFormat>
    <chartFormat chart="20" format="6">
      <pivotArea type="data" outline="0" fieldPosition="0">
        <references count="2">
          <reference field="4294967294" count="1" selected="0">
            <x v="0"/>
          </reference>
          <reference field="9" count="1" selected="0">
            <x v="1"/>
          </reference>
        </references>
      </pivotArea>
    </chartFormat>
    <chartFormat chart="18" format="1">
      <pivotArea type="data" outline="0" fieldPosition="0">
        <references count="2">
          <reference field="4294967294" count="1" selected="0">
            <x v="0"/>
          </reference>
          <reference field="9" count="1" selected="0">
            <x v="0"/>
          </reference>
        </references>
      </pivotArea>
    </chartFormat>
    <chartFormat chart="18"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9BC380-51F4-8A42-BC08-660E96A6C3E2}" sourceName="Department">
  <pivotTables>
    <pivotTable tabId="2" name="KPIs"/>
    <pivotTable tabId="2" name="PivotTable2"/>
    <pivotTable tabId="2" name="PivotTable4"/>
    <pivotTable tabId="2" name="PivotTable5"/>
    <pivotTable tabId="2" name="PivotTable9"/>
    <pivotTable tabId="2" name="PivotTable10"/>
    <pivotTable tabId="2" name="PivotTable1"/>
  </pivotTables>
  <data>
    <tabular pivotCacheId="1567773249">
      <items count="6">
        <i x="3" s="1"/>
        <i x="0"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6F197B3E-05E9-E74D-B50D-3A4380D106E7}" sourceName="Treatment Type">
  <pivotTables>
    <pivotTable tabId="2" name="KPIs"/>
    <pivotTable tabId="2" name="PivotTable2"/>
    <pivotTable tabId="2" name="PivotTable4"/>
    <pivotTable tabId="2" name="PivotTable5"/>
    <pivotTable tabId="2" name="PivotTable9"/>
    <pivotTable tabId="2" name="PivotTable10"/>
    <pivotTable tabId="2" name="PivotTable1"/>
  </pivotTables>
  <data>
    <tabular pivotCacheId="1567773249">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09A66F9A-FC60-EB44-BD27-F8CEFFAB15CE}" sourceName="Doctor Name">
  <pivotTables>
    <pivotTable tabId="2" name="KPIs"/>
    <pivotTable tabId="2" name="PivotTable2"/>
    <pivotTable tabId="2" name="PivotTable4"/>
    <pivotTable tabId="2" name="PivotTable5"/>
    <pivotTable tabId="2" name="PivotTable9"/>
    <pivotTable tabId="2" name="PivotTable10"/>
    <pivotTable tabId="2" name="PivotTable1"/>
  </pivotTables>
  <data>
    <tabular pivotCacheId="1567773249">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0CC5A3-D962-B449-8B34-328325F520C4}" sourceName="Gender">
  <pivotTables>
    <pivotTable tabId="2" name="KPIs"/>
    <pivotTable tabId="2" name="PivotTable2"/>
    <pivotTable tabId="2" name="PivotTable4"/>
    <pivotTable tabId="2" name="PivotTable5"/>
    <pivotTable tabId="2" name="PivotTable9"/>
    <pivotTable tabId="2" name="PivotTable10"/>
    <pivotTable tabId="2" name="PivotTable1"/>
  </pivotTables>
  <data>
    <tabular pivotCacheId="15677732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E09D205-9290-544A-A7F2-BE0F9F043A2A}" cache="Slicer_Department" caption="Department" style="SlicerStyleDark5" rowHeight="251883"/>
  <slicer name="Treatment Type 1" xr10:uid="{B9DFD6C9-352A-6640-9429-693B740F7FDE}" cache="Slicer_Treatment_Type" caption="Treatment Type" style="SlicerStyleDark5" rowHeight="251883"/>
  <slicer name="Doctor Name 1" xr10:uid="{A785C82C-E9D0-3A43-BA71-0302E7ACC712}" cache="Slicer_Doctor_Name" caption="Doctor Name" style="SlicerStyleDark5" rowHeight="251883"/>
  <slicer name="Gender 1" xr10:uid="{E85E1135-DC38-9541-A238-467A8400C1AD}" cache="Slicer_Gender" caption="Gender" style="SlicerStyleDark5"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4DC2BF8-6E9C-5940-B4D3-1B9B6ED79305}" cache="Slicer_Department" caption="Department" rowHeight="251883"/>
  <slicer name="Treatment Type" xr10:uid="{5A9B14CF-B0DA-5846-B23A-2F0EA01E2189}" cache="Slicer_Treatment_Type" caption="Treatment Type" rowHeight="251883"/>
  <slicer name="Doctor Name" xr10:uid="{F7420E91-A63C-0D49-8F86-A07A5366735F}" cache="Slicer_Doctor_Name" caption="Doctor Name" rowHeight="251883"/>
  <slicer name="Gender" xr10:uid="{FCA0AF46-F57C-7447-91F5-2E7E923DFA3D}" cache="Slicer_Gender" caption="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E3EB06-683C-BB4A-9537-C2666F62FA6B}" name="Table1" displayName="Table1" ref="A1:K201" totalsRowShown="0">
  <autoFilter ref="A1:K201" xr:uid="{EEE3EB06-683C-BB4A-9537-C2666F62FA6B}"/>
  <tableColumns count="11">
    <tableColumn id="1" xr3:uid="{828803A3-61D0-8040-BD7A-F12EF9C31E0A}" name="Patient ID"/>
    <tableColumn id="2" xr3:uid="{499189CD-D6BB-B249-912B-27DDDBD5257C}" name="Department"/>
    <tableColumn id="3" xr3:uid="{4157F8C5-7901-5C4A-ACE2-459BEC9C6641}" name="Treatment Type"/>
    <tableColumn id="4" xr3:uid="{15C6E6E3-796F-A84E-A68F-B149E3124D8D}" name="Doctor Name"/>
    <tableColumn id="5" xr3:uid="{B38FA24F-B865-9C46-BC9F-BF5860FC5417}" name="Gender"/>
    <tableColumn id="6" xr3:uid="{CA8B8A20-4338-6F46-AE27-85CB3E4050A9}" name="Age"/>
    <tableColumn id="7" xr3:uid="{3D25BE09-9604-2D4A-AE23-A23D36FD51F4}" name="Treatment Cost"/>
    <tableColumn id="8" xr3:uid="{13B0C799-E008-0C44-92CD-1B28E37A382C}" name="Hospital Stay (Days)"/>
    <tableColumn id="9" xr3:uid="{F4034A1E-DE6D-A24E-B731-F86719CC5E2A}" name="Recovery Score"/>
    <tableColumn id="10" xr3:uid="{BB2987D7-C5D1-A748-9343-C91D2428C32F}" name="Cost Category" dataDxfId="1">
      <calculatedColumnFormula>IF(G2&gt;75000,"High Cost","Low Cost")</calculatedColumnFormula>
    </tableColumn>
    <tableColumn id="11" xr3:uid="{8109EE7B-B2C0-9346-9148-66C6EB7FFACC}" name="Age Group" dataDxfId="0">
      <calculatedColumnFormula>IF(F2&lt;=5,"Infant/Toddler",IF(F2&lt;=12,"Child",IF(F2&lt;=19,"Teenager",IF(F2&lt;=29,"Young Adult",IF(F2&lt;=44,"Adult",IF(F2&lt;=59,"Middle aged",IF(F2&lt;=90,"Senior/Elderly")))))))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5CB7-06E0-0B4F-86C5-2DA959B126F0}">
  <dimension ref="A1"/>
  <sheetViews>
    <sheetView showGridLines="0" tabSelected="1" zoomScale="75" workbookViewId="0">
      <selection activeCell="H32" sqref="H32"/>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CDEE8-1059-8740-B391-A4B73CA9AE56}">
  <dimension ref="A3:E50"/>
  <sheetViews>
    <sheetView topLeftCell="A27" workbookViewId="0">
      <selection activeCell="H50" sqref="H50"/>
    </sheetView>
  </sheetViews>
  <sheetFormatPr baseColWidth="10" defaultRowHeight="16" x14ac:dyDescent="0.2"/>
  <cols>
    <col min="1" max="1" width="13" bestFit="1" customWidth="1"/>
    <col min="2" max="3" width="17.1640625" bestFit="1" customWidth="1"/>
    <col min="4" max="4" width="20" bestFit="1" customWidth="1"/>
    <col min="5" max="5" width="23" bestFit="1" customWidth="1"/>
  </cols>
  <sheetData>
    <row r="3" spans="1:5" x14ac:dyDescent="0.2">
      <c r="A3" t="s">
        <v>229</v>
      </c>
      <c r="B3" t="s">
        <v>230</v>
      </c>
      <c r="C3" t="s">
        <v>231</v>
      </c>
      <c r="D3" t="s">
        <v>232</v>
      </c>
      <c r="E3" t="s">
        <v>233</v>
      </c>
    </row>
    <row r="4" spans="1:5" x14ac:dyDescent="0.2">
      <c r="A4">
        <v>200</v>
      </c>
      <c r="B4" s="3">
        <v>79698.513500000015</v>
      </c>
      <c r="C4" s="3">
        <v>41.71</v>
      </c>
      <c r="D4" s="3">
        <v>16.015000000000001</v>
      </c>
      <c r="E4" s="3">
        <v>70.375</v>
      </c>
    </row>
    <row r="6" spans="1:5" x14ac:dyDescent="0.2">
      <c r="A6" s="1" t="s">
        <v>227</v>
      </c>
      <c r="B6" t="s">
        <v>235</v>
      </c>
      <c r="C6" t="s">
        <v>234</v>
      </c>
      <c r="D6" t="s">
        <v>236</v>
      </c>
    </row>
    <row r="7" spans="1:5" x14ac:dyDescent="0.2">
      <c r="A7" s="2" t="s">
        <v>25</v>
      </c>
      <c r="B7" s="3">
        <v>70.5</v>
      </c>
      <c r="C7" s="3">
        <v>41</v>
      </c>
      <c r="D7">
        <v>19.571496576932219</v>
      </c>
    </row>
    <row r="8" spans="1:5" x14ac:dyDescent="0.2">
      <c r="A8" s="2" t="s">
        <v>10</v>
      </c>
      <c r="B8" s="3">
        <v>71.804878048780495</v>
      </c>
      <c r="C8" s="3">
        <v>40</v>
      </c>
      <c r="D8">
        <v>16.895590419093264</v>
      </c>
    </row>
    <row r="9" spans="1:5" x14ac:dyDescent="0.2">
      <c r="A9" s="2" t="s">
        <v>31</v>
      </c>
      <c r="B9" s="3">
        <v>66.392857142857139</v>
      </c>
      <c r="C9" s="3">
        <v>40</v>
      </c>
      <c r="D9">
        <v>19.085265376655212</v>
      </c>
    </row>
    <row r="10" spans="1:5" x14ac:dyDescent="0.2">
      <c r="A10" s="2" t="s">
        <v>36</v>
      </c>
      <c r="B10" s="3">
        <v>72.41935483870968</v>
      </c>
      <c r="C10" s="3">
        <v>41</v>
      </c>
      <c r="D10">
        <v>17.819042610923095</v>
      </c>
    </row>
    <row r="11" spans="1:5" x14ac:dyDescent="0.2">
      <c r="A11" s="2" t="s">
        <v>22</v>
      </c>
      <c r="B11" s="3">
        <v>67.263157894736835</v>
      </c>
      <c r="C11" s="3">
        <v>40</v>
      </c>
      <c r="D11">
        <v>16.439379567641545</v>
      </c>
    </row>
    <row r="12" spans="1:5" x14ac:dyDescent="0.2">
      <c r="A12" s="2" t="s">
        <v>15</v>
      </c>
      <c r="B12" s="3">
        <v>73.131578947368425</v>
      </c>
      <c r="C12" s="3">
        <v>42</v>
      </c>
      <c r="D12">
        <v>17.727930402572756</v>
      </c>
    </row>
    <row r="13" spans="1:5" x14ac:dyDescent="0.2">
      <c r="A13" s="2" t="s">
        <v>228</v>
      </c>
      <c r="B13" s="3">
        <v>70.375</v>
      </c>
      <c r="C13" s="3">
        <v>40</v>
      </c>
      <c r="D13">
        <v>17.726406926181141</v>
      </c>
    </row>
    <row r="15" spans="1:5" x14ac:dyDescent="0.2">
      <c r="A15" s="1" t="s">
        <v>227</v>
      </c>
      <c r="B15" t="s">
        <v>235</v>
      </c>
    </row>
    <row r="16" spans="1:5" x14ac:dyDescent="0.2">
      <c r="A16" s="2" t="s">
        <v>26</v>
      </c>
      <c r="B16" s="3">
        <v>70.2</v>
      </c>
    </row>
    <row r="17" spans="1:5" x14ac:dyDescent="0.2">
      <c r="A17" s="2" t="s">
        <v>12</v>
      </c>
      <c r="B17" s="3">
        <v>72.521739130434781</v>
      </c>
    </row>
    <row r="18" spans="1:5" x14ac:dyDescent="0.2">
      <c r="A18" s="2" t="s">
        <v>17</v>
      </c>
      <c r="B18" s="3">
        <v>73.243902439024396</v>
      </c>
    </row>
    <row r="19" spans="1:5" x14ac:dyDescent="0.2">
      <c r="A19" s="2" t="s">
        <v>32</v>
      </c>
      <c r="B19" s="3">
        <v>67.75555555555556</v>
      </c>
    </row>
    <row r="20" spans="1:5" x14ac:dyDescent="0.2">
      <c r="A20" s="2" t="s">
        <v>23</v>
      </c>
      <c r="B20" s="3">
        <v>67.921052631578945</v>
      </c>
    </row>
    <row r="21" spans="1:5" x14ac:dyDescent="0.2">
      <c r="A21" s="2" t="s">
        <v>228</v>
      </c>
      <c r="B21" s="3">
        <v>70.375</v>
      </c>
    </row>
    <row r="23" spans="1:5" x14ac:dyDescent="0.2">
      <c r="A23" s="1" t="s">
        <v>227</v>
      </c>
      <c r="B23" t="s">
        <v>235</v>
      </c>
    </row>
    <row r="24" spans="1:5" x14ac:dyDescent="0.2">
      <c r="A24" s="2" t="s">
        <v>13</v>
      </c>
      <c r="B24" s="3">
        <v>71.614035087719301</v>
      </c>
    </row>
    <row r="25" spans="1:5" x14ac:dyDescent="0.2">
      <c r="A25" s="2" t="s">
        <v>18</v>
      </c>
      <c r="B25" s="3">
        <v>72.283950617283949</v>
      </c>
    </row>
    <row r="26" spans="1:5" x14ac:dyDescent="0.2">
      <c r="A26" s="2" t="s">
        <v>29</v>
      </c>
      <c r="B26" s="3">
        <v>66.741935483870961</v>
      </c>
    </row>
    <row r="27" spans="1:5" x14ac:dyDescent="0.2">
      <c r="A27" s="2" t="s">
        <v>228</v>
      </c>
      <c r="B27" s="3">
        <v>70.375</v>
      </c>
    </row>
    <row r="29" spans="1:5" x14ac:dyDescent="0.2">
      <c r="A29" s="1" t="s">
        <v>227</v>
      </c>
      <c r="B29" t="s">
        <v>235</v>
      </c>
    </row>
    <row r="30" spans="1:5" x14ac:dyDescent="0.2">
      <c r="A30" s="2" t="s">
        <v>16</v>
      </c>
      <c r="B30" s="3">
        <v>67.581818181818178</v>
      </c>
      <c r="D30" s="2" t="s">
        <v>16</v>
      </c>
      <c r="E30" s="3">
        <v>67.581818181818178</v>
      </c>
    </row>
    <row r="31" spans="1:5" x14ac:dyDescent="0.2">
      <c r="A31" s="2" t="s">
        <v>28</v>
      </c>
      <c r="B31" s="3">
        <v>70.021276595744681</v>
      </c>
      <c r="D31" s="2" t="s">
        <v>28</v>
      </c>
      <c r="E31" s="3">
        <v>70.021276595744681</v>
      </c>
    </row>
    <row r="32" spans="1:5" x14ac:dyDescent="0.2">
      <c r="A32" s="2" t="s">
        <v>41</v>
      </c>
      <c r="B32" s="3">
        <v>73.291666666666671</v>
      </c>
      <c r="D32" s="2" t="s">
        <v>41</v>
      </c>
      <c r="E32" s="3">
        <v>73.291666666666671</v>
      </c>
    </row>
    <row r="33" spans="1:5" x14ac:dyDescent="0.2">
      <c r="A33" s="2" t="s">
        <v>11</v>
      </c>
      <c r="B33" s="3">
        <v>70.98</v>
      </c>
      <c r="D33" s="2" t="s">
        <v>11</v>
      </c>
      <c r="E33" s="3">
        <v>70.98</v>
      </c>
    </row>
    <row r="34" spans="1:5" x14ac:dyDescent="0.2">
      <c r="A34" s="2" t="s">
        <v>228</v>
      </c>
      <c r="B34" s="3">
        <v>70.375</v>
      </c>
    </row>
    <row r="36" spans="1:5" x14ac:dyDescent="0.2">
      <c r="A36" s="1" t="s">
        <v>227</v>
      </c>
      <c r="B36" t="s">
        <v>235</v>
      </c>
      <c r="D36" t="s">
        <v>227</v>
      </c>
      <c r="E36" t="s">
        <v>235</v>
      </c>
    </row>
    <row r="37" spans="1:5" x14ac:dyDescent="0.2">
      <c r="A37" s="2" t="s">
        <v>238</v>
      </c>
      <c r="B37" s="3">
        <v>72.254716981132077</v>
      </c>
      <c r="D37" t="s">
        <v>241</v>
      </c>
      <c r="E37">
        <v>68.324324324324323</v>
      </c>
    </row>
    <row r="38" spans="1:5" x14ac:dyDescent="0.2">
      <c r="A38" s="2" t="s">
        <v>239</v>
      </c>
      <c r="B38" s="3">
        <v>68.255319148936167</v>
      </c>
      <c r="D38" t="s">
        <v>242</v>
      </c>
      <c r="E38">
        <v>70.400000000000006</v>
      </c>
    </row>
    <row r="39" spans="1:5" x14ac:dyDescent="0.2">
      <c r="A39" s="2" t="s">
        <v>228</v>
      </c>
      <c r="B39" s="3">
        <v>70.375</v>
      </c>
      <c r="D39" t="s">
        <v>243</v>
      </c>
      <c r="E39">
        <v>72.222222222222229</v>
      </c>
    </row>
    <row r="40" spans="1:5" x14ac:dyDescent="0.2">
      <c r="D40" t="s">
        <v>244</v>
      </c>
      <c r="E40">
        <v>68.242424242424249</v>
      </c>
    </row>
    <row r="41" spans="1:5" x14ac:dyDescent="0.2">
      <c r="D41" t="s">
        <v>245</v>
      </c>
      <c r="E41">
        <v>72.606557377049185</v>
      </c>
    </row>
    <row r="42" spans="1:5" x14ac:dyDescent="0.2">
      <c r="A42" s="1" t="s">
        <v>227</v>
      </c>
      <c r="B42" t="s">
        <v>235</v>
      </c>
      <c r="D42" t="s">
        <v>246</v>
      </c>
      <c r="E42">
        <v>67.230769230769226</v>
      </c>
    </row>
    <row r="43" spans="1:5" x14ac:dyDescent="0.2">
      <c r="A43" s="2" t="s">
        <v>241</v>
      </c>
      <c r="B43" s="3">
        <v>68.324324324324323</v>
      </c>
      <c r="D43" t="s">
        <v>247</v>
      </c>
      <c r="E43">
        <v>71.333333333333329</v>
      </c>
    </row>
    <row r="44" spans="1:5" x14ac:dyDescent="0.2">
      <c r="A44" s="2" t="s">
        <v>242</v>
      </c>
      <c r="B44" s="3">
        <v>70.400000000000006</v>
      </c>
    </row>
    <row r="45" spans="1:5" x14ac:dyDescent="0.2">
      <c r="A45" s="2" t="s">
        <v>243</v>
      </c>
      <c r="B45" s="3">
        <v>72.222222222222229</v>
      </c>
    </row>
    <row r="46" spans="1:5" x14ac:dyDescent="0.2">
      <c r="A46" s="2" t="s">
        <v>244</v>
      </c>
      <c r="B46" s="3">
        <v>68.242424242424249</v>
      </c>
    </row>
    <row r="47" spans="1:5" x14ac:dyDescent="0.2">
      <c r="A47" s="2" t="s">
        <v>245</v>
      </c>
      <c r="B47" s="3">
        <v>72.606557377049185</v>
      </c>
    </row>
    <row r="48" spans="1:5" x14ac:dyDescent="0.2">
      <c r="A48" s="2" t="s">
        <v>246</v>
      </c>
      <c r="B48" s="3">
        <v>67.230769230769226</v>
      </c>
    </row>
    <row r="49" spans="1:2" x14ac:dyDescent="0.2">
      <c r="A49" s="2" t="s">
        <v>247</v>
      </c>
      <c r="B49" s="3">
        <v>71.333333333333329</v>
      </c>
    </row>
    <row r="50" spans="1:2" x14ac:dyDescent="0.2">
      <c r="A50" s="2" t="s">
        <v>228</v>
      </c>
      <c r="B50" s="3">
        <v>70.375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49847-E043-2A4F-BC6E-7A5C18775CD8}">
  <dimension ref="A1:K201"/>
  <sheetViews>
    <sheetView workbookViewId="0">
      <selection activeCell="K2" sqref="K2"/>
    </sheetView>
  </sheetViews>
  <sheetFormatPr baseColWidth="10" defaultRowHeight="16" x14ac:dyDescent="0.2"/>
  <cols>
    <col min="1" max="1" width="11.6640625" customWidth="1"/>
    <col min="2" max="2" width="13.5" customWidth="1"/>
    <col min="3" max="3" width="16" customWidth="1"/>
    <col min="4" max="4" width="14.5" customWidth="1"/>
    <col min="7" max="7" width="16.33203125" customWidth="1"/>
    <col min="8" max="8" width="20.1640625" customWidth="1"/>
    <col min="9" max="9" width="16" customWidth="1"/>
    <col min="10" max="10" width="15.5" bestFit="1" customWidth="1"/>
    <col min="11" max="11" width="12.5" style="4" bestFit="1" customWidth="1"/>
  </cols>
  <sheetData>
    <row r="1" spans="1:11" x14ac:dyDescent="0.2">
      <c r="A1" t="s">
        <v>0</v>
      </c>
      <c r="B1" t="s">
        <v>1</v>
      </c>
      <c r="C1" t="s">
        <v>2</v>
      </c>
      <c r="D1" t="s">
        <v>3</v>
      </c>
      <c r="E1" t="s">
        <v>4</v>
      </c>
      <c r="F1" t="s">
        <v>5</v>
      </c>
      <c r="G1" t="s">
        <v>6</v>
      </c>
      <c r="H1" t="s">
        <v>7</v>
      </c>
      <c r="I1" t="s">
        <v>8</v>
      </c>
      <c r="J1" t="s">
        <v>237</v>
      </c>
      <c r="K1" s="4" t="s">
        <v>240</v>
      </c>
    </row>
    <row r="2" spans="1:11" x14ac:dyDescent="0.2">
      <c r="A2" t="s">
        <v>9</v>
      </c>
      <c r="B2" t="s">
        <v>10</v>
      </c>
      <c r="C2" t="s">
        <v>11</v>
      </c>
      <c r="D2" t="s">
        <v>12</v>
      </c>
      <c r="E2" t="s">
        <v>13</v>
      </c>
      <c r="F2">
        <v>12</v>
      </c>
      <c r="G2">
        <v>68632.97</v>
      </c>
      <c r="H2">
        <v>21</v>
      </c>
      <c r="I2">
        <v>82</v>
      </c>
      <c r="J2" t="str">
        <f t="shared" ref="J2:J33" si="0">IF(G2&gt;75000,"High Cost","Low Cost")</f>
        <v>Low Cost</v>
      </c>
      <c r="K2" s="4" t="str">
        <f t="shared" ref="K2:K33" si="1">IF(F2&lt;=5,"Infant/Toddler",IF(F2&lt;=12,"Child",IF(F2&lt;=19,"Teenager",IF(F2&lt;=29,"Young Adult",IF(F2&lt;=44,"Adult",IF(F2&lt;=59,"Middle aged",IF(F2&lt;=90,"Senior/Elderly")))))))</f>
        <v>Child</v>
      </c>
    </row>
    <row r="3" spans="1:11" x14ac:dyDescent="0.2">
      <c r="A3" t="s">
        <v>14</v>
      </c>
      <c r="B3" t="s">
        <v>15</v>
      </c>
      <c r="C3" t="s">
        <v>16</v>
      </c>
      <c r="D3" t="s">
        <v>17</v>
      </c>
      <c r="E3" t="s">
        <v>18</v>
      </c>
      <c r="F3">
        <v>52</v>
      </c>
      <c r="G3">
        <v>10231.42</v>
      </c>
      <c r="H3">
        <v>20</v>
      </c>
      <c r="I3">
        <v>42</v>
      </c>
      <c r="J3" t="str">
        <f t="shared" si="0"/>
        <v>Low Cost</v>
      </c>
      <c r="K3" s="4" t="str">
        <f t="shared" si="1"/>
        <v>Middle aged</v>
      </c>
    </row>
    <row r="4" spans="1:11" x14ac:dyDescent="0.2">
      <c r="A4" t="s">
        <v>19</v>
      </c>
      <c r="B4" t="s">
        <v>15</v>
      </c>
      <c r="C4" t="s">
        <v>11</v>
      </c>
      <c r="D4" t="s">
        <v>12</v>
      </c>
      <c r="E4" t="s">
        <v>18</v>
      </c>
      <c r="F4">
        <v>79</v>
      </c>
      <c r="G4">
        <v>10160.24</v>
      </c>
      <c r="H4">
        <v>2</v>
      </c>
      <c r="I4">
        <v>72</v>
      </c>
      <c r="J4" t="str">
        <f t="shared" si="0"/>
        <v>Low Cost</v>
      </c>
      <c r="K4" s="4" t="str">
        <f t="shared" si="1"/>
        <v>Senior/Elderly</v>
      </c>
    </row>
    <row r="5" spans="1:11" x14ac:dyDescent="0.2">
      <c r="A5" t="s">
        <v>20</v>
      </c>
      <c r="B5" t="s">
        <v>15</v>
      </c>
      <c r="C5" t="s">
        <v>11</v>
      </c>
      <c r="D5" t="s">
        <v>12</v>
      </c>
      <c r="E5" t="s">
        <v>13</v>
      </c>
      <c r="F5">
        <v>23</v>
      </c>
      <c r="G5">
        <v>103508.96</v>
      </c>
      <c r="H5">
        <v>20</v>
      </c>
      <c r="I5">
        <v>50</v>
      </c>
      <c r="J5" t="str">
        <f t="shared" si="0"/>
        <v>High Cost</v>
      </c>
      <c r="K5" s="4" t="str">
        <f t="shared" si="1"/>
        <v>Young Adult</v>
      </c>
    </row>
    <row r="6" spans="1:11" x14ac:dyDescent="0.2">
      <c r="A6" t="s">
        <v>21</v>
      </c>
      <c r="B6" t="s">
        <v>22</v>
      </c>
      <c r="C6" t="s">
        <v>16</v>
      </c>
      <c r="D6" t="s">
        <v>23</v>
      </c>
      <c r="E6" t="s">
        <v>13</v>
      </c>
      <c r="F6">
        <v>7</v>
      </c>
      <c r="G6">
        <v>143427.51999999999</v>
      </c>
      <c r="H6">
        <v>6</v>
      </c>
      <c r="I6">
        <v>43</v>
      </c>
      <c r="J6" t="str">
        <f t="shared" si="0"/>
        <v>High Cost</v>
      </c>
      <c r="K6" s="4" t="str">
        <f t="shared" si="1"/>
        <v>Child</v>
      </c>
    </row>
    <row r="7" spans="1:11" x14ac:dyDescent="0.2">
      <c r="A7" t="s">
        <v>24</v>
      </c>
      <c r="B7" t="s">
        <v>25</v>
      </c>
      <c r="C7" t="s">
        <v>16</v>
      </c>
      <c r="D7" t="s">
        <v>26</v>
      </c>
      <c r="E7" t="s">
        <v>13</v>
      </c>
      <c r="F7">
        <v>78</v>
      </c>
      <c r="G7">
        <v>146252.19</v>
      </c>
      <c r="H7">
        <v>9</v>
      </c>
      <c r="I7">
        <v>41</v>
      </c>
      <c r="J7" t="str">
        <f t="shared" si="0"/>
        <v>High Cost</v>
      </c>
      <c r="K7" s="4" t="str">
        <f t="shared" si="1"/>
        <v>Senior/Elderly</v>
      </c>
    </row>
    <row r="8" spans="1:11" x14ac:dyDescent="0.2">
      <c r="A8" t="s">
        <v>27</v>
      </c>
      <c r="B8" t="s">
        <v>25</v>
      </c>
      <c r="C8" t="s">
        <v>28</v>
      </c>
      <c r="D8" t="s">
        <v>17</v>
      </c>
      <c r="E8" t="s">
        <v>29</v>
      </c>
      <c r="F8">
        <v>30</v>
      </c>
      <c r="G8">
        <v>54393.48</v>
      </c>
      <c r="H8">
        <v>1</v>
      </c>
      <c r="I8">
        <v>42</v>
      </c>
      <c r="J8" t="str">
        <f t="shared" si="0"/>
        <v>Low Cost</v>
      </c>
      <c r="K8" s="4" t="str">
        <f t="shared" si="1"/>
        <v>Adult</v>
      </c>
    </row>
    <row r="9" spans="1:11" x14ac:dyDescent="0.2">
      <c r="A9" t="s">
        <v>30</v>
      </c>
      <c r="B9" t="s">
        <v>31</v>
      </c>
      <c r="C9" t="s">
        <v>28</v>
      </c>
      <c r="D9" t="s">
        <v>32</v>
      </c>
      <c r="E9" t="s">
        <v>29</v>
      </c>
      <c r="F9">
        <v>68</v>
      </c>
      <c r="G9">
        <v>30452.22</v>
      </c>
      <c r="H9">
        <v>6</v>
      </c>
      <c r="I9">
        <v>77</v>
      </c>
      <c r="J9" t="str">
        <f t="shared" si="0"/>
        <v>Low Cost</v>
      </c>
      <c r="K9" s="4" t="str">
        <f t="shared" si="1"/>
        <v>Senior/Elderly</v>
      </c>
    </row>
    <row r="10" spans="1:11" x14ac:dyDescent="0.2">
      <c r="A10" t="s">
        <v>33</v>
      </c>
      <c r="B10" t="s">
        <v>10</v>
      </c>
      <c r="C10" t="s">
        <v>28</v>
      </c>
      <c r="D10" t="s">
        <v>12</v>
      </c>
      <c r="E10" t="s">
        <v>29</v>
      </c>
      <c r="F10">
        <v>41</v>
      </c>
      <c r="G10">
        <v>79517.25</v>
      </c>
      <c r="H10">
        <v>9</v>
      </c>
      <c r="I10">
        <v>62</v>
      </c>
      <c r="J10" t="str">
        <f t="shared" si="0"/>
        <v>High Cost</v>
      </c>
      <c r="K10" s="4" t="str">
        <f t="shared" si="1"/>
        <v>Adult</v>
      </c>
    </row>
    <row r="11" spans="1:11" x14ac:dyDescent="0.2">
      <c r="A11" t="s">
        <v>34</v>
      </c>
      <c r="B11" t="s">
        <v>15</v>
      </c>
      <c r="C11" t="s">
        <v>16</v>
      </c>
      <c r="D11" t="s">
        <v>23</v>
      </c>
      <c r="E11" t="s">
        <v>29</v>
      </c>
      <c r="F11">
        <v>56</v>
      </c>
      <c r="G11">
        <v>116558.38</v>
      </c>
      <c r="H11">
        <v>24</v>
      </c>
      <c r="I11">
        <v>48</v>
      </c>
      <c r="J11" t="str">
        <f t="shared" si="0"/>
        <v>High Cost</v>
      </c>
      <c r="K11" s="4" t="str">
        <f t="shared" si="1"/>
        <v>Middle aged</v>
      </c>
    </row>
    <row r="12" spans="1:11" x14ac:dyDescent="0.2">
      <c r="A12" t="s">
        <v>35</v>
      </c>
      <c r="B12" t="s">
        <v>36</v>
      </c>
      <c r="C12" t="s">
        <v>16</v>
      </c>
      <c r="D12" t="s">
        <v>23</v>
      </c>
      <c r="E12" t="s">
        <v>13</v>
      </c>
      <c r="F12">
        <v>24</v>
      </c>
      <c r="G12">
        <v>135883.74</v>
      </c>
      <c r="H12">
        <v>15</v>
      </c>
      <c r="I12">
        <v>54</v>
      </c>
      <c r="J12" t="str">
        <f t="shared" si="0"/>
        <v>High Cost</v>
      </c>
      <c r="K12" s="4" t="str">
        <f t="shared" si="1"/>
        <v>Young Adult</v>
      </c>
    </row>
    <row r="13" spans="1:11" x14ac:dyDescent="0.2">
      <c r="A13" t="s">
        <v>37</v>
      </c>
      <c r="B13" t="s">
        <v>15</v>
      </c>
      <c r="C13" t="s">
        <v>28</v>
      </c>
      <c r="D13" t="s">
        <v>17</v>
      </c>
      <c r="E13" t="s">
        <v>13</v>
      </c>
      <c r="F13">
        <v>62</v>
      </c>
      <c r="G13">
        <v>148179.98000000001</v>
      </c>
      <c r="H13">
        <v>11</v>
      </c>
      <c r="I13">
        <v>87</v>
      </c>
      <c r="J13" t="str">
        <f t="shared" si="0"/>
        <v>High Cost</v>
      </c>
      <c r="K13" s="4" t="str">
        <f t="shared" si="1"/>
        <v>Senior/Elderly</v>
      </c>
    </row>
    <row r="14" spans="1:11" x14ac:dyDescent="0.2">
      <c r="A14" t="s">
        <v>38</v>
      </c>
      <c r="B14" t="s">
        <v>25</v>
      </c>
      <c r="C14" t="s">
        <v>28</v>
      </c>
      <c r="D14" t="s">
        <v>32</v>
      </c>
      <c r="E14" t="s">
        <v>13</v>
      </c>
      <c r="F14">
        <v>65</v>
      </c>
      <c r="G14">
        <v>20591.650000000001</v>
      </c>
      <c r="H14">
        <v>28</v>
      </c>
      <c r="I14">
        <v>52</v>
      </c>
      <c r="J14" t="str">
        <f t="shared" si="0"/>
        <v>Low Cost</v>
      </c>
      <c r="K14" s="4" t="str">
        <f t="shared" si="1"/>
        <v>Senior/Elderly</v>
      </c>
    </row>
    <row r="15" spans="1:11" x14ac:dyDescent="0.2">
      <c r="A15" t="s">
        <v>39</v>
      </c>
      <c r="B15" t="s">
        <v>10</v>
      </c>
      <c r="C15" t="s">
        <v>28</v>
      </c>
      <c r="D15" t="s">
        <v>12</v>
      </c>
      <c r="E15" t="s">
        <v>13</v>
      </c>
      <c r="F15">
        <v>13</v>
      </c>
      <c r="G15">
        <v>59149.07</v>
      </c>
      <c r="H15">
        <v>19</v>
      </c>
      <c r="I15">
        <v>86</v>
      </c>
      <c r="J15" t="str">
        <f t="shared" si="0"/>
        <v>Low Cost</v>
      </c>
      <c r="K15" s="4" t="str">
        <f t="shared" si="1"/>
        <v>Teenager</v>
      </c>
    </row>
    <row r="16" spans="1:11" x14ac:dyDescent="0.2">
      <c r="A16" t="s">
        <v>40</v>
      </c>
      <c r="B16" t="s">
        <v>10</v>
      </c>
      <c r="C16" t="s">
        <v>41</v>
      </c>
      <c r="D16" t="s">
        <v>26</v>
      </c>
      <c r="E16" t="s">
        <v>18</v>
      </c>
      <c r="F16">
        <v>39</v>
      </c>
      <c r="G16">
        <v>59335.72</v>
      </c>
      <c r="H16">
        <v>28</v>
      </c>
      <c r="I16">
        <v>80</v>
      </c>
      <c r="J16" t="str">
        <f t="shared" si="0"/>
        <v>Low Cost</v>
      </c>
      <c r="K16" s="4" t="str">
        <f t="shared" si="1"/>
        <v>Adult</v>
      </c>
    </row>
    <row r="17" spans="1:11" x14ac:dyDescent="0.2">
      <c r="A17" t="s">
        <v>42</v>
      </c>
      <c r="B17" t="s">
        <v>22</v>
      </c>
      <c r="C17" t="s">
        <v>16</v>
      </c>
      <c r="D17" t="s">
        <v>12</v>
      </c>
      <c r="E17" t="s">
        <v>18</v>
      </c>
      <c r="F17">
        <v>85</v>
      </c>
      <c r="G17">
        <v>101936.34</v>
      </c>
      <c r="H17">
        <v>27</v>
      </c>
      <c r="I17">
        <v>99</v>
      </c>
      <c r="J17" t="str">
        <f t="shared" si="0"/>
        <v>High Cost</v>
      </c>
      <c r="K17" s="4" t="str">
        <f t="shared" si="1"/>
        <v>Senior/Elderly</v>
      </c>
    </row>
    <row r="18" spans="1:11" x14ac:dyDescent="0.2">
      <c r="A18" t="s">
        <v>43</v>
      </c>
      <c r="B18" t="s">
        <v>22</v>
      </c>
      <c r="C18" t="s">
        <v>41</v>
      </c>
      <c r="D18" t="s">
        <v>12</v>
      </c>
      <c r="E18" t="s">
        <v>18</v>
      </c>
      <c r="F18">
        <v>52</v>
      </c>
      <c r="G18">
        <v>107481.12</v>
      </c>
      <c r="H18">
        <v>8</v>
      </c>
      <c r="I18">
        <v>93</v>
      </c>
      <c r="J18" t="str">
        <f t="shared" si="0"/>
        <v>High Cost</v>
      </c>
      <c r="K18" s="4" t="str">
        <f t="shared" si="1"/>
        <v>Middle aged</v>
      </c>
    </row>
    <row r="19" spans="1:11" x14ac:dyDescent="0.2">
      <c r="A19" t="s">
        <v>44</v>
      </c>
      <c r="B19" t="s">
        <v>36</v>
      </c>
      <c r="C19" t="s">
        <v>11</v>
      </c>
      <c r="D19" t="s">
        <v>23</v>
      </c>
      <c r="E19" t="s">
        <v>18</v>
      </c>
      <c r="F19">
        <v>25</v>
      </c>
      <c r="G19">
        <v>142574.53</v>
      </c>
      <c r="H19">
        <v>30</v>
      </c>
      <c r="I19">
        <v>99</v>
      </c>
      <c r="J19" t="str">
        <f t="shared" si="0"/>
        <v>High Cost</v>
      </c>
      <c r="K19" s="4" t="str">
        <f t="shared" si="1"/>
        <v>Young Adult</v>
      </c>
    </row>
    <row r="20" spans="1:11" x14ac:dyDescent="0.2">
      <c r="A20" t="s">
        <v>45</v>
      </c>
      <c r="B20" t="s">
        <v>15</v>
      </c>
      <c r="C20" t="s">
        <v>41</v>
      </c>
      <c r="D20" t="s">
        <v>23</v>
      </c>
      <c r="E20" t="s">
        <v>18</v>
      </c>
      <c r="F20">
        <v>1</v>
      </c>
      <c r="G20">
        <v>43174.44</v>
      </c>
      <c r="H20">
        <v>24</v>
      </c>
      <c r="I20">
        <v>100</v>
      </c>
      <c r="J20" t="str">
        <f t="shared" si="0"/>
        <v>Low Cost</v>
      </c>
      <c r="K20" s="4" t="str">
        <f t="shared" si="1"/>
        <v>Infant/Toddler</v>
      </c>
    </row>
    <row r="21" spans="1:11" x14ac:dyDescent="0.2">
      <c r="A21" t="s">
        <v>46</v>
      </c>
      <c r="B21" t="s">
        <v>31</v>
      </c>
      <c r="C21" t="s">
        <v>16</v>
      </c>
      <c r="D21" t="s">
        <v>12</v>
      </c>
      <c r="E21" t="s">
        <v>13</v>
      </c>
      <c r="F21">
        <v>3</v>
      </c>
      <c r="G21">
        <v>125171.58</v>
      </c>
      <c r="H21">
        <v>30</v>
      </c>
      <c r="I21">
        <v>89</v>
      </c>
      <c r="J21" t="str">
        <f t="shared" si="0"/>
        <v>High Cost</v>
      </c>
      <c r="K21" s="4" t="str">
        <f t="shared" si="1"/>
        <v>Infant/Toddler</v>
      </c>
    </row>
    <row r="22" spans="1:11" x14ac:dyDescent="0.2">
      <c r="A22" t="s">
        <v>47</v>
      </c>
      <c r="B22" t="s">
        <v>15</v>
      </c>
      <c r="C22" t="s">
        <v>11</v>
      </c>
      <c r="D22" t="s">
        <v>26</v>
      </c>
      <c r="E22" t="s">
        <v>18</v>
      </c>
      <c r="F22">
        <v>31</v>
      </c>
      <c r="G22">
        <v>51842.34</v>
      </c>
      <c r="H22">
        <v>15</v>
      </c>
      <c r="I22">
        <v>74</v>
      </c>
      <c r="J22" t="str">
        <f t="shared" si="0"/>
        <v>Low Cost</v>
      </c>
      <c r="K22" s="4" t="str">
        <f t="shared" si="1"/>
        <v>Adult</v>
      </c>
    </row>
    <row r="23" spans="1:11" x14ac:dyDescent="0.2">
      <c r="A23" t="s">
        <v>48</v>
      </c>
      <c r="B23" t="s">
        <v>36</v>
      </c>
      <c r="C23" t="s">
        <v>11</v>
      </c>
      <c r="D23" t="s">
        <v>26</v>
      </c>
      <c r="E23" t="s">
        <v>18</v>
      </c>
      <c r="F23">
        <v>66</v>
      </c>
      <c r="G23">
        <v>30547.73</v>
      </c>
      <c r="H23">
        <v>11</v>
      </c>
      <c r="I23">
        <v>47</v>
      </c>
      <c r="J23" t="str">
        <f t="shared" si="0"/>
        <v>Low Cost</v>
      </c>
      <c r="K23" s="4" t="str">
        <f t="shared" si="1"/>
        <v>Senior/Elderly</v>
      </c>
    </row>
    <row r="24" spans="1:11" x14ac:dyDescent="0.2">
      <c r="A24" t="s">
        <v>49</v>
      </c>
      <c r="B24" t="s">
        <v>22</v>
      </c>
      <c r="C24" t="s">
        <v>11</v>
      </c>
      <c r="D24" t="s">
        <v>32</v>
      </c>
      <c r="E24" t="s">
        <v>18</v>
      </c>
      <c r="F24">
        <v>68</v>
      </c>
      <c r="G24">
        <v>68961.679999999993</v>
      </c>
      <c r="H24">
        <v>5</v>
      </c>
      <c r="I24">
        <v>67</v>
      </c>
      <c r="J24" t="str">
        <f t="shared" si="0"/>
        <v>Low Cost</v>
      </c>
      <c r="K24" s="4" t="str">
        <f t="shared" si="1"/>
        <v>Senior/Elderly</v>
      </c>
    </row>
    <row r="25" spans="1:11" x14ac:dyDescent="0.2">
      <c r="A25" t="s">
        <v>50</v>
      </c>
      <c r="B25" t="s">
        <v>36</v>
      </c>
      <c r="C25" t="s">
        <v>11</v>
      </c>
      <c r="D25" t="s">
        <v>32</v>
      </c>
      <c r="E25" t="s">
        <v>29</v>
      </c>
      <c r="F25">
        <v>75</v>
      </c>
      <c r="G25">
        <v>89887.05</v>
      </c>
      <c r="H25">
        <v>28</v>
      </c>
      <c r="I25">
        <v>92</v>
      </c>
      <c r="J25" t="str">
        <f t="shared" si="0"/>
        <v>High Cost</v>
      </c>
      <c r="K25" s="4" t="str">
        <f t="shared" si="1"/>
        <v>Senior/Elderly</v>
      </c>
    </row>
    <row r="26" spans="1:11" x14ac:dyDescent="0.2">
      <c r="A26" t="s">
        <v>51</v>
      </c>
      <c r="B26" t="s">
        <v>15</v>
      </c>
      <c r="C26" t="s">
        <v>16</v>
      </c>
      <c r="D26" t="s">
        <v>12</v>
      </c>
      <c r="E26" t="s">
        <v>18</v>
      </c>
      <c r="F26">
        <v>35</v>
      </c>
      <c r="G26">
        <v>54350.5</v>
      </c>
      <c r="H26">
        <v>24</v>
      </c>
      <c r="I26">
        <v>70</v>
      </c>
      <c r="J26" t="str">
        <f t="shared" si="0"/>
        <v>Low Cost</v>
      </c>
      <c r="K26" s="4" t="str">
        <f t="shared" si="1"/>
        <v>Adult</v>
      </c>
    </row>
    <row r="27" spans="1:11" x14ac:dyDescent="0.2">
      <c r="A27" t="s">
        <v>52</v>
      </c>
      <c r="B27" t="s">
        <v>31</v>
      </c>
      <c r="C27" t="s">
        <v>11</v>
      </c>
      <c r="D27" t="s">
        <v>23</v>
      </c>
      <c r="E27" t="s">
        <v>18</v>
      </c>
      <c r="F27">
        <v>56</v>
      </c>
      <c r="G27">
        <v>47635.12</v>
      </c>
      <c r="H27">
        <v>3</v>
      </c>
      <c r="I27">
        <v>47</v>
      </c>
      <c r="J27" t="str">
        <f t="shared" si="0"/>
        <v>Low Cost</v>
      </c>
      <c r="K27" s="4" t="str">
        <f t="shared" si="1"/>
        <v>Middle aged</v>
      </c>
    </row>
    <row r="28" spans="1:11" x14ac:dyDescent="0.2">
      <c r="A28" t="s">
        <v>53</v>
      </c>
      <c r="B28" t="s">
        <v>22</v>
      </c>
      <c r="C28" t="s">
        <v>41</v>
      </c>
      <c r="D28" t="s">
        <v>23</v>
      </c>
      <c r="E28" t="s">
        <v>29</v>
      </c>
      <c r="F28">
        <v>34</v>
      </c>
      <c r="G28">
        <v>136077.99</v>
      </c>
      <c r="H28">
        <v>25</v>
      </c>
      <c r="I28">
        <v>58</v>
      </c>
      <c r="J28" t="str">
        <f t="shared" si="0"/>
        <v>High Cost</v>
      </c>
      <c r="K28" s="4" t="str">
        <f t="shared" si="1"/>
        <v>Adult</v>
      </c>
    </row>
    <row r="29" spans="1:11" x14ac:dyDescent="0.2">
      <c r="A29" t="s">
        <v>54</v>
      </c>
      <c r="B29" t="s">
        <v>25</v>
      </c>
      <c r="C29" t="s">
        <v>11</v>
      </c>
      <c r="D29" t="s">
        <v>23</v>
      </c>
      <c r="E29" t="s">
        <v>18</v>
      </c>
      <c r="F29">
        <v>31</v>
      </c>
      <c r="G29">
        <v>103276.56</v>
      </c>
      <c r="H29">
        <v>30</v>
      </c>
      <c r="I29">
        <v>84</v>
      </c>
      <c r="J29" t="str">
        <f t="shared" si="0"/>
        <v>High Cost</v>
      </c>
      <c r="K29" s="4" t="str">
        <f t="shared" si="1"/>
        <v>Adult</v>
      </c>
    </row>
    <row r="30" spans="1:11" x14ac:dyDescent="0.2">
      <c r="A30" t="s">
        <v>55</v>
      </c>
      <c r="B30" t="s">
        <v>10</v>
      </c>
      <c r="C30" t="s">
        <v>41</v>
      </c>
      <c r="D30" t="s">
        <v>26</v>
      </c>
      <c r="E30" t="s">
        <v>18</v>
      </c>
      <c r="F30">
        <v>25</v>
      </c>
      <c r="G30">
        <v>38676.85</v>
      </c>
      <c r="H30">
        <v>9</v>
      </c>
      <c r="I30">
        <v>70</v>
      </c>
      <c r="J30" t="str">
        <f t="shared" si="0"/>
        <v>Low Cost</v>
      </c>
      <c r="K30" s="4" t="str">
        <f t="shared" si="1"/>
        <v>Young Adult</v>
      </c>
    </row>
    <row r="31" spans="1:11" x14ac:dyDescent="0.2">
      <c r="A31" t="s">
        <v>56</v>
      </c>
      <c r="B31" t="s">
        <v>10</v>
      </c>
      <c r="C31" t="s">
        <v>41</v>
      </c>
      <c r="D31" t="s">
        <v>32</v>
      </c>
      <c r="E31" t="s">
        <v>29</v>
      </c>
      <c r="F31">
        <v>86</v>
      </c>
      <c r="G31">
        <v>35788.22</v>
      </c>
      <c r="H31">
        <v>3</v>
      </c>
      <c r="I31">
        <v>66</v>
      </c>
      <c r="J31" t="str">
        <f t="shared" si="0"/>
        <v>Low Cost</v>
      </c>
      <c r="K31" s="4" t="str">
        <f t="shared" si="1"/>
        <v>Senior/Elderly</v>
      </c>
    </row>
    <row r="32" spans="1:11" x14ac:dyDescent="0.2">
      <c r="A32" t="s">
        <v>57</v>
      </c>
      <c r="B32" t="s">
        <v>36</v>
      </c>
      <c r="C32" t="s">
        <v>16</v>
      </c>
      <c r="D32" t="s">
        <v>12</v>
      </c>
      <c r="E32" t="s">
        <v>18</v>
      </c>
      <c r="F32">
        <v>79</v>
      </c>
      <c r="G32">
        <v>140415.63</v>
      </c>
      <c r="H32">
        <v>16</v>
      </c>
      <c r="I32">
        <v>67</v>
      </c>
      <c r="J32" t="str">
        <f t="shared" si="0"/>
        <v>High Cost</v>
      </c>
      <c r="K32" s="4" t="str">
        <f t="shared" si="1"/>
        <v>Senior/Elderly</v>
      </c>
    </row>
    <row r="33" spans="1:11" x14ac:dyDescent="0.2">
      <c r="A33" t="s">
        <v>58</v>
      </c>
      <c r="B33" t="s">
        <v>22</v>
      </c>
      <c r="C33" t="s">
        <v>41</v>
      </c>
      <c r="D33" t="s">
        <v>26</v>
      </c>
      <c r="E33" t="s">
        <v>18</v>
      </c>
      <c r="F33">
        <v>51</v>
      </c>
      <c r="G33">
        <v>143365.82999999999</v>
      </c>
      <c r="H33">
        <v>1</v>
      </c>
      <c r="I33">
        <v>58</v>
      </c>
      <c r="J33" t="str">
        <f t="shared" si="0"/>
        <v>High Cost</v>
      </c>
      <c r="K33" s="4" t="str">
        <f t="shared" si="1"/>
        <v>Middle aged</v>
      </c>
    </row>
    <row r="34" spans="1:11" x14ac:dyDescent="0.2">
      <c r="A34" t="s">
        <v>59</v>
      </c>
      <c r="B34" t="s">
        <v>10</v>
      </c>
      <c r="C34" t="s">
        <v>16</v>
      </c>
      <c r="D34" t="s">
        <v>17</v>
      </c>
      <c r="E34" t="s">
        <v>18</v>
      </c>
      <c r="F34">
        <v>1</v>
      </c>
      <c r="G34">
        <v>101058.07</v>
      </c>
      <c r="H34">
        <v>4</v>
      </c>
      <c r="I34">
        <v>81</v>
      </c>
      <c r="J34" t="str">
        <f t="shared" ref="J34:J65" si="2">IF(G34&gt;75000,"High Cost","Low Cost")</f>
        <v>High Cost</v>
      </c>
      <c r="K34" s="4" t="str">
        <f t="shared" ref="K34:K65" si="3">IF(F34&lt;=5,"Infant/Toddler",IF(F34&lt;=12,"Child",IF(F34&lt;=19,"Teenager",IF(F34&lt;=29,"Young Adult",IF(F34&lt;=44,"Adult",IF(F34&lt;=59,"Middle aged",IF(F34&lt;=90,"Senior/Elderly")))))))</f>
        <v>Infant/Toddler</v>
      </c>
    </row>
    <row r="35" spans="1:11" x14ac:dyDescent="0.2">
      <c r="A35" t="s">
        <v>60</v>
      </c>
      <c r="B35" t="s">
        <v>22</v>
      </c>
      <c r="C35" t="s">
        <v>11</v>
      </c>
      <c r="D35" t="s">
        <v>12</v>
      </c>
      <c r="E35" t="s">
        <v>29</v>
      </c>
      <c r="F35">
        <v>58</v>
      </c>
      <c r="G35">
        <v>41426.04</v>
      </c>
      <c r="H35">
        <v>6</v>
      </c>
      <c r="I35">
        <v>67</v>
      </c>
      <c r="J35" t="str">
        <f t="shared" si="2"/>
        <v>Low Cost</v>
      </c>
      <c r="K35" s="4" t="str">
        <f t="shared" si="3"/>
        <v>Middle aged</v>
      </c>
    </row>
    <row r="36" spans="1:11" x14ac:dyDescent="0.2">
      <c r="A36" t="s">
        <v>61</v>
      </c>
      <c r="B36" t="s">
        <v>22</v>
      </c>
      <c r="C36" t="s">
        <v>28</v>
      </c>
      <c r="D36" t="s">
        <v>17</v>
      </c>
      <c r="E36" t="s">
        <v>13</v>
      </c>
      <c r="F36">
        <v>15</v>
      </c>
      <c r="G36">
        <v>131454.59</v>
      </c>
      <c r="H36">
        <v>30</v>
      </c>
      <c r="I36">
        <v>83</v>
      </c>
      <c r="J36" t="str">
        <f t="shared" si="2"/>
        <v>High Cost</v>
      </c>
      <c r="K36" s="4" t="str">
        <f t="shared" si="3"/>
        <v>Teenager</v>
      </c>
    </row>
    <row r="37" spans="1:11" x14ac:dyDescent="0.2">
      <c r="A37" t="s">
        <v>62</v>
      </c>
      <c r="B37" t="s">
        <v>10</v>
      </c>
      <c r="C37" t="s">
        <v>16</v>
      </c>
      <c r="D37" t="s">
        <v>32</v>
      </c>
      <c r="E37" t="s">
        <v>13</v>
      </c>
      <c r="F37">
        <v>5</v>
      </c>
      <c r="G37">
        <v>48581.36</v>
      </c>
      <c r="H37">
        <v>16</v>
      </c>
      <c r="I37">
        <v>40</v>
      </c>
      <c r="J37" t="str">
        <f t="shared" si="2"/>
        <v>Low Cost</v>
      </c>
      <c r="K37" s="4" t="str">
        <f t="shared" si="3"/>
        <v>Infant/Toddler</v>
      </c>
    </row>
    <row r="38" spans="1:11" x14ac:dyDescent="0.2">
      <c r="A38" t="s">
        <v>63</v>
      </c>
      <c r="B38" t="s">
        <v>15</v>
      </c>
      <c r="C38" t="s">
        <v>11</v>
      </c>
      <c r="D38" t="s">
        <v>17</v>
      </c>
      <c r="E38" t="s">
        <v>13</v>
      </c>
      <c r="F38">
        <v>41</v>
      </c>
      <c r="G38">
        <v>143381.07</v>
      </c>
      <c r="H38">
        <v>1</v>
      </c>
      <c r="I38">
        <v>87</v>
      </c>
      <c r="J38" t="str">
        <f t="shared" si="2"/>
        <v>High Cost</v>
      </c>
      <c r="K38" s="4" t="str">
        <f t="shared" si="3"/>
        <v>Adult</v>
      </c>
    </row>
    <row r="39" spans="1:11" x14ac:dyDescent="0.2">
      <c r="A39" t="s">
        <v>64</v>
      </c>
      <c r="B39" t="s">
        <v>15</v>
      </c>
      <c r="C39" t="s">
        <v>11</v>
      </c>
      <c r="D39" t="s">
        <v>17</v>
      </c>
      <c r="E39" t="s">
        <v>18</v>
      </c>
      <c r="F39">
        <v>3</v>
      </c>
      <c r="G39">
        <v>50045.440000000002</v>
      </c>
      <c r="H39">
        <v>15</v>
      </c>
      <c r="I39">
        <v>84</v>
      </c>
      <c r="J39" t="str">
        <f t="shared" si="2"/>
        <v>Low Cost</v>
      </c>
      <c r="K39" s="4" t="str">
        <f t="shared" si="3"/>
        <v>Infant/Toddler</v>
      </c>
    </row>
    <row r="40" spans="1:11" x14ac:dyDescent="0.2">
      <c r="A40" t="s">
        <v>65</v>
      </c>
      <c r="B40" t="s">
        <v>22</v>
      </c>
      <c r="C40" t="s">
        <v>11</v>
      </c>
      <c r="D40" t="s">
        <v>17</v>
      </c>
      <c r="E40" t="s">
        <v>29</v>
      </c>
      <c r="F40">
        <v>58</v>
      </c>
      <c r="G40">
        <v>86479.95</v>
      </c>
      <c r="H40">
        <v>1</v>
      </c>
      <c r="I40">
        <v>75</v>
      </c>
      <c r="J40" t="str">
        <f t="shared" si="2"/>
        <v>High Cost</v>
      </c>
      <c r="K40" s="4" t="str">
        <f t="shared" si="3"/>
        <v>Middle aged</v>
      </c>
    </row>
    <row r="41" spans="1:11" x14ac:dyDescent="0.2">
      <c r="A41" t="s">
        <v>66</v>
      </c>
      <c r="B41" t="s">
        <v>15</v>
      </c>
      <c r="C41" t="s">
        <v>41</v>
      </c>
      <c r="D41" t="s">
        <v>23</v>
      </c>
      <c r="E41" t="s">
        <v>18</v>
      </c>
      <c r="F41">
        <v>14</v>
      </c>
      <c r="G41">
        <v>9067.3799999999992</v>
      </c>
      <c r="H41">
        <v>28</v>
      </c>
      <c r="I41">
        <v>86</v>
      </c>
      <c r="J41" t="str">
        <f t="shared" si="2"/>
        <v>Low Cost</v>
      </c>
      <c r="K41" s="4" t="str">
        <f t="shared" si="3"/>
        <v>Teenager</v>
      </c>
    </row>
    <row r="42" spans="1:11" x14ac:dyDescent="0.2">
      <c r="A42" t="s">
        <v>67</v>
      </c>
      <c r="B42" t="s">
        <v>15</v>
      </c>
      <c r="C42" t="s">
        <v>28</v>
      </c>
      <c r="D42" t="s">
        <v>23</v>
      </c>
      <c r="E42" t="s">
        <v>18</v>
      </c>
      <c r="F42">
        <v>31</v>
      </c>
      <c r="G42">
        <v>113414.83</v>
      </c>
      <c r="H42">
        <v>8</v>
      </c>
      <c r="I42">
        <v>70</v>
      </c>
      <c r="J42" t="str">
        <f t="shared" si="2"/>
        <v>High Cost</v>
      </c>
      <c r="K42" s="4" t="str">
        <f t="shared" si="3"/>
        <v>Adult</v>
      </c>
    </row>
    <row r="43" spans="1:11" x14ac:dyDescent="0.2">
      <c r="A43" t="s">
        <v>68</v>
      </c>
      <c r="B43" t="s">
        <v>31</v>
      </c>
      <c r="C43" t="s">
        <v>16</v>
      </c>
      <c r="D43" t="s">
        <v>12</v>
      </c>
      <c r="E43" t="s">
        <v>18</v>
      </c>
      <c r="F43">
        <v>85</v>
      </c>
      <c r="G43">
        <v>78946.19</v>
      </c>
      <c r="H43">
        <v>3</v>
      </c>
      <c r="I43">
        <v>48</v>
      </c>
      <c r="J43" t="str">
        <f t="shared" si="2"/>
        <v>High Cost</v>
      </c>
      <c r="K43" s="4" t="str">
        <f t="shared" si="3"/>
        <v>Senior/Elderly</v>
      </c>
    </row>
    <row r="44" spans="1:11" x14ac:dyDescent="0.2">
      <c r="A44" t="s">
        <v>69</v>
      </c>
      <c r="B44" t="s">
        <v>10</v>
      </c>
      <c r="C44" t="s">
        <v>11</v>
      </c>
      <c r="D44" t="s">
        <v>26</v>
      </c>
      <c r="E44" t="s">
        <v>18</v>
      </c>
      <c r="F44">
        <v>22</v>
      </c>
      <c r="G44">
        <v>100035.91</v>
      </c>
      <c r="H44">
        <v>29</v>
      </c>
      <c r="I44">
        <v>70</v>
      </c>
      <c r="J44" t="str">
        <f t="shared" si="2"/>
        <v>High Cost</v>
      </c>
      <c r="K44" s="4" t="str">
        <f t="shared" si="3"/>
        <v>Young Adult</v>
      </c>
    </row>
    <row r="45" spans="1:11" x14ac:dyDescent="0.2">
      <c r="A45" t="s">
        <v>70</v>
      </c>
      <c r="B45" t="s">
        <v>15</v>
      </c>
      <c r="C45" t="s">
        <v>28</v>
      </c>
      <c r="D45" t="s">
        <v>23</v>
      </c>
      <c r="E45" t="s">
        <v>18</v>
      </c>
      <c r="F45">
        <v>62</v>
      </c>
      <c r="G45">
        <v>149340.16</v>
      </c>
      <c r="H45">
        <v>18</v>
      </c>
      <c r="I45">
        <v>49</v>
      </c>
      <c r="J45" t="str">
        <f t="shared" si="2"/>
        <v>High Cost</v>
      </c>
      <c r="K45" s="4" t="str">
        <f t="shared" si="3"/>
        <v>Senior/Elderly</v>
      </c>
    </row>
    <row r="46" spans="1:11" x14ac:dyDescent="0.2">
      <c r="A46" t="s">
        <v>71</v>
      </c>
      <c r="B46" t="s">
        <v>10</v>
      </c>
      <c r="C46" t="s">
        <v>11</v>
      </c>
      <c r="D46" t="s">
        <v>12</v>
      </c>
      <c r="E46" t="s">
        <v>13</v>
      </c>
      <c r="F46">
        <v>79</v>
      </c>
      <c r="G46">
        <v>105328.19</v>
      </c>
      <c r="H46">
        <v>26</v>
      </c>
      <c r="I46">
        <v>94</v>
      </c>
      <c r="J46" t="str">
        <f t="shared" si="2"/>
        <v>High Cost</v>
      </c>
      <c r="K46" s="4" t="str">
        <f t="shared" si="3"/>
        <v>Senior/Elderly</v>
      </c>
    </row>
    <row r="47" spans="1:11" x14ac:dyDescent="0.2">
      <c r="A47" t="s">
        <v>72</v>
      </c>
      <c r="B47" t="s">
        <v>10</v>
      </c>
      <c r="C47" t="s">
        <v>28</v>
      </c>
      <c r="D47" t="s">
        <v>12</v>
      </c>
      <c r="E47" t="s">
        <v>29</v>
      </c>
      <c r="F47">
        <v>19</v>
      </c>
      <c r="G47">
        <v>21826.12</v>
      </c>
      <c r="H47">
        <v>17</v>
      </c>
      <c r="I47">
        <v>48</v>
      </c>
      <c r="J47" t="str">
        <f t="shared" si="2"/>
        <v>Low Cost</v>
      </c>
      <c r="K47" s="4" t="str">
        <f t="shared" si="3"/>
        <v>Teenager</v>
      </c>
    </row>
    <row r="48" spans="1:11" x14ac:dyDescent="0.2">
      <c r="A48" t="s">
        <v>73</v>
      </c>
      <c r="B48" t="s">
        <v>36</v>
      </c>
      <c r="C48" t="s">
        <v>11</v>
      </c>
      <c r="D48" t="s">
        <v>32</v>
      </c>
      <c r="E48" t="s">
        <v>18</v>
      </c>
      <c r="F48">
        <v>37</v>
      </c>
      <c r="G48">
        <v>77556.53</v>
      </c>
      <c r="H48">
        <v>24</v>
      </c>
      <c r="I48">
        <v>87</v>
      </c>
      <c r="J48" t="str">
        <f t="shared" si="2"/>
        <v>High Cost</v>
      </c>
      <c r="K48" s="4" t="str">
        <f t="shared" si="3"/>
        <v>Adult</v>
      </c>
    </row>
    <row r="49" spans="1:11" x14ac:dyDescent="0.2">
      <c r="A49" t="s">
        <v>74</v>
      </c>
      <c r="B49" t="s">
        <v>36</v>
      </c>
      <c r="C49" t="s">
        <v>28</v>
      </c>
      <c r="D49" t="s">
        <v>26</v>
      </c>
      <c r="E49" t="s">
        <v>18</v>
      </c>
      <c r="F49">
        <v>30</v>
      </c>
      <c r="G49">
        <v>53806.86</v>
      </c>
      <c r="H49">
        <v>21</v>
      </c>
      <c r="I49">
        <v>82</v>
      </c>
      <c r="J49" t="str">
        <f t="shared" si="2"/>
        <v>Low Cost</v>
      </c>
      <c r="K49" s="4" t="str">
        <f t="shared" si="3"/>
        <v>Adult</v>
      </c>
    </row>
    <row r="50" spans="1:11" x14ac:dyDescent="0.2">
      <c r="A50" t="s">
        <v>75</v>
      </c>
      <c r="B50" t="s">
        <v>15</v>
      </c>
      <c r="C50" t="s">
        <v>41</v>
      </c>
      <c r="D50" t="s">
        <v>12</v>
      </c>
      <c r="E50" t="s">
        <v>18</v>
      </c>
      <c r="F50">
        <v>66</v>
      </c>
      <c r="G50">
        <v>84096.91</v>
      </c>
      <c r="H50">
        <v>18</v>
      </c>
      <c r="I50">
        <v>91</v>
      </c>
      <c r="J50" t="str">
        <f t="shared" si="2"/>
        <v>High Cost</v>
      </c>
      <c r="K50" s="4" t="str">
        <f t="shared" si="3"/>
        <v>Senior/Elderly</v>
      </c>
    </row>
    <row r="51" spans="1:11" x14ac:dyDescent="0.2">
      <c r="A51" t="s">
        <v>76</v>
      </c>
      <c r="B51" t="s">
        <v>10</v>
      </c>
      <c r="C51" t="s">
        <v>28</v>
      </c>
      <c r="D51" t="s">
        <v>12</v>
      </c>
      <c r="E51" t="s">
        <v>18</v>
      </c>
      <c r="F51">
        <v>22</v>
      </c>
      <c r="G51">
        <v>46384.67</v>
      </c>
      <c r="H51">
        <v>3</v>
      </c>
      <c r="I51">
        <v>84</v>
      </c>
      <c r="J51" t="str">
        <f t="shared" si="2"/>
        <v>Low Cost</v>
      </c>
      <c r="K51" s="4" t="str">
        <f t="shared" si="3"/>
        <v>Young Adult</v>
      </c>
    </row>
    <row r="52" spans="1:11" x14ac:dyDescent="0.2">
      <c r="A52" t="s">
        <v>77</v>
      </c>
      <c r="B52" t="s">
        <v>10</v>
      </c>
      <c r="C52" t="s">
        <v>28</v>
      </c>
      <c r="D52" t="s">
        <v>17</v>
      </c>
      <c r="E52" t="s">
        <v>18</v>
      </c>
      <c r="F52">
        <v>60</v>
      </c>
      <c r="G52">
        <v>122442.43</v>
      </c>
      <c r="H52">
        <v>6</v>
      </c>
      <c r="I52">
        <v>94</v>
      </c>
      <c r="J52" t="str">
        <f t="shared" si="2"/>
        <v>High Cost</v>
      </c>
      <c r="K52" s="4" t="str">
        <f t="shared" si="3"/>
        <v>Senior/Elderly</v>
      </c>
    </row>
    <row r="53" spans="1:11" x14ac:dyDescent="0.2">
      <c r="A53" t="s">
        <v>78</v>
      </c>
      <c r="B53" t="s">
        <v>31</v>
      </c>
      <c r="C53" t="s">
        <v>16</v>
      </c>
      <c r="D53" t="s">
        <v>12</v>
      </c>
      <c r="E53" t="s">
        <v>29</v>
      </c>
      <c r="F53">
        <v>35</v>
      </c>
      <c r="G53">
        <v>73863.679999999993</v>
      </c>
      <c r="H53">
        <v>17</v>
      </c>
      <c r="I53">
        <v>42</v>
      </c>
      <c r="J53" t="str">
        <f t="shared" si="2"/>
        <v>Low Cost</v>
      </c>
      <c r="K53" s="4" t="str">
        <f t="shared" si="3"/>
        <v>Adult</v>
      </c>
    </row>
    <row r="54" spans="1:11" x14ac:dyDescent="0.2">
      <c r="A54" t="s">
        <v>79</v>
      </c>
      <c r="B54" t="s">
        <v>22</v>
      </c>
      <c r="C54" t="s">
        <v>11</v>
      </c>
      <c r="D54" t="s">
        <v>23</v>
      </c>
      <c r="E54" t="s">
        <v>13</v>
      </c>
      <c r="F54">
        <v>21</v>
      </c>
      <c r="G54">
        <v>75334.19</v>
      </c>
      <c r="H54">
        <v>23</v>
      </c>
      <c r="I54">
        <v>51</v>
      </c>
      <c r="J54" t="str">
        <f t="shared" si="2"/>
        <v>High Cost</v>
      </c>
      <c r="K54" s="4" t="str">
        <f t="shared" si="3"/>
        <v>Young Adult</v>
      </c>
    </row>
    <row r="55" spans="1:11" x14ac:dyDescent="0.2">
      <c r="A55" t="s">
        <v>80</v>
      </c>
      <c r="B55" t="s">
        <v>31</v>
      </c>
      <c r="C55" t="s">
        <v>28</v>
      </c>
      <c r="D55" t="s">
        <v>17</v>
      </c>
      <c r="E55" t="s">
        <v>29</v>
      </c>
      <c r="F55">
        <v>51</v>
      </c>
      <c r="G55">
        <v>59829.99</v>
      </c>
      <c r="H55">
        <v>2</v>
      </c>
      <c r="I55">
        <v>40</v>
      </c>
      <c r="J55" t="str">
        <f t="shared" si="2"/>
        <v>Low Cost</v>
      </c>
      <c r="K55" s="4" t="str">
        <f t="shared" si="3"/>
        <v>Middle aged</v>
      </c>
    </row>
    <row r="56" spans="1:11" x14ac:dyDescent="0.2">
      <c r="A56" t="s">
        <v>81</v>
      </c>
      <c r="B56" t="s">
        <v>31</v>
      </c>
      <c r="C56" t="s">
        <v>28</v>
      </c>
      <c r="D56" t="s">
        <v>32</v>
      </c>
      <c r="E56" t="s">
        <v>13</v>
      </c>
      <c r="F56">
        <v>87</v>
      </c>
      <c r="G56">
        <v>5444.8</v>
      </c>
      <c r="H56">
        <v>5</v>
      </c>
      <c r="I56">
        <v>42</v>
      </c>
      <c r="J56" t="str">
        <f t="shared" si="2"/>
        <v>Low Cost</v>
      </c>
      <c r="K56" s="4" t="str">
        <f t="shared" si="3"/>
        <v>Senior/Elderly</v>
      </c>
    </row>
    <row r="57" spans="1:11" x14ac:dyDescent="0.2">
      <c r="A57" t="s">
        <v>82</v>
      </c>
      <c r="B57" t="s">
        <v>25</v>
      </c>
      <c r="C57" t="s">
        <v>11</v>
      </c>
      <c r="D57" t="s">
        <v>17</v>
      </c>
      <c r="E57" t="s">
        <v>18</v>
      </c>
      <c r="F57">
        <v>11</v>
      </c>
      <c r="G57">
        <v>39022.85</v>
      </c>
      <c r="H57">
        <v>8</v>
      </c>
      <c r="I57">
        <v>96</v>
      </c>
      <c r="J57" t="str">
        <f t="shared" si="2"/>
        <v>Low Cost</v>
      </c>
      <c r="K57" s="4" t="str">
        <f t="shared" si="3"/>
        <v>Child</v>
      </c>
    </row>
    <row r="58" spans="1:11" x14ac:dyDescent="0.2">
      <c r="A58" t="s">
        <v>83</v>
      </c>
      <c r="B58" t="s">
        <v>15</v>
      </c>
      <c r="C58" t="s">
        <v>11</v>
      </c>
      <c r="D58" t="s">
        <v>12</v>
      </c>
      <c r="E58" t="s">
        <v>18</v>
      </c>
      <c r="F58">
        <v>7</v>
      </c>
      <c r="G58">
        <v>127110.45</v>
      </c>
      <c r="H58">
        <v>30</v>
      </c>
      <c r="I58">
        <v>100</v>
      </c>
      <c r="J58" t="str">
        <f t="shared" si="2"/>
        <v>High Cost</v>
      </c>
      <c r="K58" s="4" t="str">
        <f t="shared" si="3"/>
        <v>Child</v>
      </c>
    </row>
    <row r="59" spans="1:11" x14ac:dyDescent="0.2">
      <c r="A59" t="s">
        <v>84</v>
      </c>
      <c r="B59" t="s">
        <v>25</v>
      </c>
      <c r="C59" t="s">
        <v>16</v>
      </c>
      <c r="D59" t="s">
        <v>17</v>
      </c>
      <c r="E59" t="s">
        <v>29</v>
      </c>
      <c r="F59">
        <v>80</v>
      </c>
      <c r="G59">
        <v>120082.46</v>
      </c>
      <c r="H59">
        <v>16</v>
      </c>
      <c r="I59">
        <v>93</v>
      </c>
      <c r="J59" t="str">
        <f t="shared" si="2"/>
        <v>High Cost</v>
      </c>
      <c r="K59" s="4" t="str">
        <f t="shared" si="3"/>
        <v>Senior/Elderly</v>
      </c>
    </row>
    <row r="60" spans="1:11" x14ac:dyDescent="0.2">
      <c r="A60" t="s">
        <v>85</v>
      </c>
      <c r="B60" t="s">
        <v>15</v>
      </c>
      <c r="C60" t="s">
        <v>28</v>
      </c>
      <c r="D60" t="s">
        <v>17</v>
      </c>
      <c r="E60" t="s">
        <v>18</v>
      </c>
      <c r="F60">
        <v>75</v>
      </c>
      <c r="G60">
        <v>79671.37</v>
      </c>
      <c r="H60">
        <v>30</v>
      </c>
      <c r="I60">
        <v>43</v>
      </c>
      <c r="J60" t="str">
        <f t="shared" si="2"/>
        <v>High Cost</v>
      </c>
      <c r="K60" s="4" t="str">
        <f t="shared" si="3"/>
        <v>Senior/Elderly</v>
      </c>
    </row>
    <row r="61" spans="1:11" x14ac:dyDescent="0.2">
      <c r="A61" t="s">
        <v>86</v>
      </c>
      <c r="B61" t="s">
        <v>10</v>
      </c>
      <c r="C61" t="s">
        <v>41</v>
      </c>
      <c r="D61" t="s">
        <v>12</v>
      </c>
      <c r="E61" t="s">
        <v>18</v>
      </c>
      <c r="F61">
        <v>7</v>
      </c>
      <c r="G61">
        <v>66277.52</v>
      </c>
      <c r="H61">
        <v>26</v>
      </c>
      <c r="I61">
        <v>69</v>
      </c>
      <c r="J61" t="str">
        <f t="shared" si="2"/>
        <v>Low Cost</v>
      </c>
      <c r="K61" s="4" t="str">
        <f t="shared" si="3"/>
        <v>Child</v>
      </c>
    </row>
    <row r="62" spans="1:11" x14ac:dyDescent="0.2">
      <c r="A62" t="s">
        <v>87</v>
      </c>
      <c r="B62" t="s">
        <v>22</v>
      </c>
      <c r="C62" t="s">
        <v>11</v>
      </c>
      <c r="D62" t="s">
        <v>32</v>
      </c>
      <c r="E62" t="s">
        <v>13</v>
      </c>
      <c r="F62">
        <v>14</v>
      </c>
      <c r="G62">
        <v>12241.3</v>
      </c>
      <c r="H62">
        <v>20</v>
      </c>
      <c r="I62">
        <v>40</v>
      </c>
      <c r="J62" t="str">
        <f t="shared" si="2"/>
        <v>Low Cost</v>
      </c>
      <c r="K62" s="4" t="str">
        <f t="shared" si="3"/>
        <v>Teenager</v>
      </c>
    </row>
    <row r="63" spans="1:11" x14ac:dyDescent="0.2">
      <c r="A63" t="s">
        <v>88</v>
      </c>
      <c r="B63" t="s">
        <v>36</v>
      </c>
      <c r="C63" t="s">
        <v>28</v>
      </c>
      <c r="D63" t="s">
        <v>17</v>
      </c>
      <c r="E63" t="s">
        <v>18</v>
      </c>
      <c r="F63">
        <v>22</v>
      </c>
      <c r="G63">
        <v>133882.43</v>
      </c>
      <c r="H63">
        <v>29</v>
      </c>
      <c r="I63">
        <v>63</v>
      </c>
      <c r="J63" t="str">
        <f t="shared" si="2"/>
        <v>High Cost</v>
      </c>
      <c r="K63" s="4" t="str">
        <f t="shared" si="3"/>
        <v>Young Adult</v>
      </c>
    </row>
    <row r="64" spans="1:11" x14ac:dyDescent="0.2">
      <c r="A64" t="s">
        <v>89</v>
      </c>
      <c r="B64" t="s">
        <v>25</v>
      </c>
      <c r="C64" t="s">
        <v>41</v>
      </c>
      <c r="D64" t="s">
        <v>12</v>
      </c>
      <c r="E64" t="s">
        <v>29</v>
      </c>
      <c r="F64">
        <v>73</v>
      </c>
      <c r="G64">
        <v>148488.95000000001</v>
      </c>
      <c r="H64">
        <v>22</v>
      </c>
      <c r="I64">
        <v>77</v>
      </c>
      <c r="J64" t="str">
        <f t="shared" si="2"/>
        <v>High Cost</v>
      </c>
      <c r="K64" s="4" t="str">
        <f t="shared" si="3"/>
        <v>Senior/Elderly</v>
      </c>
    </row>
    <row r="65" spans="1:11" x14ac:dyDescent="0.2">
      <c r="A65" t="s">
        <v>90</v>
      </c>
      <c r="B65" t="s">
        <v>31</v>
      </c>
      <c r="C65" t="s">
        <v>16</v>
      </c>
      <c r="D65" t="s">
        <v>12</v>
      </c>
      <c r="E65" t="s">
        <v>29</v>
      </c>
      <c r="F65">
        <v>5</v>
      </c>
      <c r="G65">
        <v>74239.37</v>
      </c>
      <c r="H65">
        <v>7</v>
      </c>
      <c r="I65">
        <v>61</v>
      </c>
      <c r="J65" t="str">
        <f t="shared" si="2"/>
        <v>Low Cost</v>
      </c>
      <c r="K65" s="4" t="str">
        <f t="shared" si="3"/>
        <v>Infant/Toddler</v>
      </c>
    </row>
    <row r="66" spans="1:11" x14ac:dyDescent="0.2">
      <c r="A66" t="s">
        <v>91</v>
      </c>
      <c r="B66" t="s">
        <v>22</v>
      </c>
      <c r="C66" t="s">
        <v>16</v>
      </c>
      <c r="D66" t="s">
        <v>32</v>
      </c>
      <c r="E66" t="s">
        <v>18</v>
      </c>
      <c r="F66">
        <v>6</v>
      </c>
      <c r="G66">
        <v>98732.94</v>
      </c>
      <c r="H66">
        <v>25</v>
      </c>
      <c r="I66">
        <v>45</v>
      </c>
      <c r="J66" t="str">
        <f t="shared" ref="J66:J97" si="4">IF(G66&gt;75000,"High Cost","Low Cost")</f>
        <v>High Cost</v>
      </c>
      <c r="K66" s="4" t="str">
        <f t="shared" ref="K66:K97" si="5">IF(F66&lt;=5,"Infant/Toddler",IF(F66&lt;=12,"Child",IF(F66&lt;=19,"Teenager",IF(F66&lt;=29,"Young Adult",IF(F66&lt;=44,"Adult",IF(F66&lt;=59,"Middle aged",IF(F66&lt;=90,"Senior/Elderly")))))))</f>
        <v>Child</v>
      </c>
    </row>
    <row r="67" spans="1:11" x14ac:dyDescent="0.2">
      <c r="A67" t="s">
        <v>92</v>
      </c>
      <c r="B67" t="s">
        <v>10</v>
      </c>
      <c r="C67" t="s">
        <v>11</v>
      </c>
      <c r="D67" t="s">
        <v>23</v>
      </c>
      <c r="E67" t="s">
        <v>13</v>
      </c>
      <c r="F67">
        <v>4</v>
      </c>
      <c r="G67">
        <v>66339.33</v>
      </c>
      <c r="H67">
        <v>5</v>
      </c>
      <c r="I67">
        <v>77</v>
      </c>
      <c r="J67" t="str">
        <f t="shared" si="4"/>
        <v>Low Cost</v>
      </c>
      <c r="K67" s="4" t="str">
        <f t="shared" si="5"/>
        <v>Infant/Toddler</v>
      </c>
    </row>
    <row r="68" spans="1:11" x14ac:dyDescent="0.2">
      <c r="A68" t="s">
        <v>93</v>
      </c>
      <c r="B68" t="s">
        <v>10</v>
      </c>
      <c r="C68" t="s">
        <v>16</v>
      </c>
      <c r="D68" t="s">
        <v>32</v>
      </c>
      <c r="E68" t="s">
        <v>18</v>
      </c>
      <c r="F68">
        <v>14</v>
      </c>
      <c r="G68">
        <v>113363.27</v>
      </c>
      <c r="H68">
        <v>9</v>
      </c>
      <c r="I68">
        <v>74</v>
      </c>
      <c r="J68" t="str">
        <f t="shared" si="4"/>
        <v>High Cost</v>
      </c>
      <c r="K68" s="4" t="str">
        <f t="shared" si="5"/>
        <v>Teenager</v>
      </c>
    </row>
    <row r="69" spans="1:11" x14ac:dyDescent="0.2">
      <c r="A69" t="s">
        <v>94</v>
      </c>
      <c r="B69" t="s">
        <v>10</v>
      </c>
      <c r="C69" t="s">
        <v>16</v>
      </c>
      <c r="D69" t="s">
        <v>32</v>
      </c>
      <c r="E69" t="s">
        <v>13</v>
      </c>
      <c r="F69">
        <v>11</v>
      </c>
      <c r="G69">
        <v>24492.09</v>
      </c>
      <c r="H69">
        <v>8</v>
      </c>
      <c r="I69">
        <v>58</v>
      </c>
      <c r="J69" t="str">
        <f t="shared" si="4"/>
        <v>Low Cost</v>
      </c>
      <c r="K69" s="4" t="str">
        <f t="shared" si="5"/>
        <v>Child</v>
      </c>
    </row>
    <row r="70" spans="1:11" x14ac:dyDescent="0.2">
      <c r="A70" t="s">
        <v>95</v>
      </c>
      <c r="B70" t="s">
        <v>25</v>
      </c>
      <c r="C70" t="s">
        <v>16</v>
      </c>
      <c r="D70" t="s">
        <v>32</v>
      </c>
      <c r="E70" t="s">
        <v>13</v>
      </c>
      <c r="F70">
        <v>19</v>
      </c>
      <c r="G70">
        <v>42080.85</v>
      </c>
      <c r="H70">
        <v>29</v>
      </c>
      <c r="I70">
        <v>65</v>
      </c>
      <c r="J70" t="str">
        <f t="shared" si="4"/>
        <v>Low Cost</v>
      </c>
      <c r="K70" s="4" t="str">
        <f t="shared" si="5"/>
        <v>Teenager</v>
      </c>
    </row>
    <row r="71" spans="1:11" x14ac:dyDescent="0.2">
      <c r="A71" t="s">
        <v>96</v>
      </c>
      <c r="B71" t="s">
        <v>31</v>
      </c>
      <c r="C71" t="s">
        <v>16</v>
      </c>
      <c r="D71" t="s">
        <v>23</v>
      </c>
      <c r="E71" t="s">
        <v>29</v>
      </c>
      <c r="F71">
        <v>56</v>
      </c>
      <c r="G71">
        <v>147658.16</v>
      </c>
      <c r="H71">
        <v>11</v>
      </c>
      <c r="I71">
        <v>96</v>
      </c>
      <c r="J71" t="str">
        <f t="shared" si="4"/>
        <v>High Cost</v>
      </c>
      <c r="K71" s="4" t="str">
        <f t="shared" si="5"/>
        <v>Middle aged</v>
      </c>
    </row>
    <row r="72" spans="1:11" x14ac:dyDescent="0.2">
      <c r="A72" t="s">
        <v>97</v>
      </c>
      <c r="B72" t="s">
        <v>22</v>
      </c>
      <c r="C72" t="s">
        <v>16</v>
      </c>
      <c r="D72" t="s">
        <v>12</v>
      </c>
      <c r="E72" t="s">
        <v>13</v>
      </c>
      <c r="F72">
        <v>40</v>
      </c>
      <c r="G72">
        <v>79386.600000000006</v>
      </c>
      <c r="H72">
        <v>21</v>
      </c>
      <c r="I72">
        <v>67</v>
      </c>
      <c r="J72" t="str">
        <f t="shared" si="4"/>
        <v>High Cost</v>
      </c>
      <c r="K72" s="4" t="str">
        <f t="shared" si="5"/>
        <v>Adult</v>
      </c>
    </row>
    <row r="73" spans="1:11" x14ac:dyDescent="0.2">
      <c r="A73" t="s">
        <v>98</v>
      </c>
      <c r="B73" t="s">
        <v>36</v>
      </c>
      <c r="C73" t="s">
        <v>41</v>
      </c>
      <c r="D73" t="s">
        <v>17</v>
      </c>
      <c r="E73" t="s">
        <v>18</v>
      </c>
      <c r="F73">
        <v>6</v>
      </c>
      <c r="G73">
        <v>22175.37</v>
      </c>
      <c r="H73">
        <v>17</v>
      </c>
      <c r="I73">
        <v>82</v>
      </c>
      <c r="J73" t="str">
        <f t="shared" si="4"/>
        <v>Low Cost</v>
      </c>
      <c r="K73" s="4" t="str">
        <f t="shared" si="5"/>
        <v>Child</v>
      </c>
    </row>
    <row r="74" spans="1:11" x14ac:dyDescent="0.2">
      <c r="A74" t="s">
        <v>99</v>
      </c>
      <c r="B74" t="s">
        <v>31</v>
      </c>
      <c r="C74" t="s">
        <v>28</v>
      </c>
      <c r="D74" t="s">
        <v>12</v>
      </c>
      <c r="E74" t="s">
        <v>29</v>
      </c>
      <c r="F74">
        <v>62</v>
      </c>
      <c r="G74">
        <v>16296.15</v>
      </c>
      <c r="H74">
        <v>28</v>
      </c>
      <c r="I74">
        <v>63</v>
      </c>
      <c r="J74" t="str">
        <f t="shared" si="4"/>
        <v>Low Cost</v>
      </c>
      <c r="K74" s="4" t="str">
        <f t="shared" si="5"/>
        <v>Senior/Elderly</v>
      </c>
    </row>
    <row r="75" spans="1:11" x14ac:dyDescent="0.2">
      <c r="A75" t="s">
        <v>100</v>
      </c>
      <c r="B75" t="s">
        <v>31</v>
      </c>
      <c r="C75" t="s">
        <v>41</v>
      </c>
      <c r="D75" t="s">
        <v>12</v>
      </c>
      <c r="E75" t="s">
        <v>29</v>
      </c>
      <c r="F75">
        <v>56</v>
      </c>
      <c r="G75">
        <v>120488.57</v>
      </c>
      <c r="H75">
        <v>30</v>
      </c>
      <c r="I75">
        <v>48</v>
      </c>
      <c r="J75" t="str">
        <f t="shared" si="4"/>
        <v>High Cost</v>
      </c>
      <c r="K75" s="4" t="str">
        <f t="shared" si="5"/>
        <v>Middle aged</v>
      </c>
    </row>
    <row r="76" spans="1:11" x14ac:dyDescent="0.2">
      <c r="A76" t="s">
        <v>101</v>
      </c>
      <c r="B76" t="s">
        <v>22</v>
      </c>
      <c r="C76" t="s">
        <v>28</v>
      </c>
      <c r="D76" t="s">
        <v>12</v>
      </c>
      <c r="E76" t="s">
        <v>13</v>
      </c>
      <c r="F76">
        <v>8</v>
      </c>
      <c r="G76">
        <v>111873.66</v>
      </c>
      <c r="H76">
        <v>16</v>
      </c>
      <c r="I76">
        <v>74</v>
      </c>
      <c r="J76" t="str">
        <f t="shared" si="4"/>
        <v>High Cost</v>
      </c>
      <c r="K76" s="4" t="str">
        <f t="shared" si="5"/>
        <v>Child</v>
      </c>
    </row>
    <row r="77" spans="1:11" x14ac:dyDescent="0.2">
      <c r="A77" t="s">
        <v>102</v>
      </c>
      <c r="B77" t="s">
        <v>22</v>
      </c>
      <c r="C77" t="s">
        <v>16</v>
      </c>
      <c r="D77" t="s">
        <v>23</v>
      </c>
      <c r="E77" t="s">
        <v>18</v>
      </c>
      <c r="F77">
        <v>62</v>
      </c>
      <c r="G77">
        <v>27610.65</v>
      </c>
      <c r="H77">
        <v>26</v>
      </c>
      <c r="I77">
        <v>72</v>
      </c>
      <c r="J77" t="str">
        <f t="shared" si="4"/>
        <v>Low Cost</v>
      </c>
      <c r="K77" s="4" t="str">
        <f t="shared" si="5"/>
        <v>Senior/Elderly</v>
      </c>
    </row>
    <row r="78" spans="1:11" x14ac:dyDescent="0.2">
      <c r="A78" t="s">
        <v>103</v>
      </c>
      <c r="B78" t="s">
        <v>22</v>
      </c>
      <c r="C78" t="s">
        <v>41</v>
      </c>
      <c r="D78" t="s">
        <v>32</v>
      </c>
      <c r="E78" t="s">
        <v>29</v>
      </c>
      <c r="F78">
        <v>17</v>
      </c>
      <c r="G78">
        <v>142458.98000000001</v>
      </c>
      <c r="H78">
        <v>6</v>
      </c>
      <c r="I78">
        <v>69</v>
      </c>
      <c r="J78" t="str">
        <f t="shared" si="4"/>
        <v>High Cost</v>
      </c>
      <c r="K78" s="4" t="str">
        <f t="shared" si="5"/>
        <v>Teenager</v>
      </c>
    </row>
    <row r="79" spans="1:11" x14ac:dyDescent="0.2">
      <c r="A79" t="s">
        <v>104</v>
      </c>
      <c r="B79" t="s">
        <v>22</v>
      </c>
      <c r="C79" t="s">
        <v>11</v>
      </c>
      <c r="D79" t="s">
        <v>23</v>
      </c>
      <c r="E79" t="s">
        <v>29</v>
      </c>
      <c r="F79">
        <v>7</v>
      </c>
      <c r="G79">
        <v>23799.83</v>
      </c>
      <c r="H79">
        <v>26</v>
      </c>
      <c r="I79">
        <v>52</v>
      </c>
      <c r="J79" t="str">
        <f t="shared" si="4"/>
        <v>Low Cost</v>
      </c>
      <c r="K79" s="4" t="str">
        <f t="shared" si="5"/>
        <v>Child</v>
      </c>
    </row>
    <row r="80" spans="1:11" x14ac:dyDescent="0.2">
      <c r="A80" t="s">
        <v>105</v>
      </c>
      <c r="B80" t="s">
        <v>36</v>
      </c>
      <c r="C80" t="s">
        <v>41</v>
      </c>
      <c r="D80" t="s">
        <v>12</v>
      </c>
      <c r="E80" t="s">
        <v>29</v>
      </c>
      <c r="F80">
        <v>49</v>
      </c>
      <c r="G80">
        <v>117019.47</v>
      </c>
      <c r="H80">
        <v>28</v>
      </c>
      <c r="I80">
        <v>63</v>
      </c>
      <c r="J80" t="str">
        <f t="shared" si="4"/>
        <v>High Cost</v>
      </c>
      <c r="K80" s="4" t="str">
        <f t="shared" si="5"/>
        <v>Middle aged</v>
      </c>
    </row>
    <row r="81" spans="1:11" x14ac:dyDescent="0.2">
      <c r="A81" t="s">
        <v>106</v>
      </c>
      <c r="B81" t="s">
        <v>36</v>
      </c>
      <c r="C81" t="s">
        <v>11</v>
      </c>
      <c r="D81" t="s">
        <v>32</v>
      </c>
      <c r="E81" t="s">
        <v>29</v>
      </c>
      <c r="F81">
        <v>12</v>
      </c>
      <c r="G81">
        <v>69472.05</v>
      </c>
      <c r="H81">
        <v>11</v>
      </c>
      <c r="I81">
        <v>68</v>
      </c>
      <c r="J81" t="str">
        <f t="shared" si="4"/>
        <v>Low Cost</v>
      </c>
      <c r="K81" s="4" t="str">
        <f t="shared" si="5"/>
        <v>Child</v>
      </c>
    </row>
    <row r="82" spans="1:11" x14ac:dyDescent="0.2">
      <c r="A82" t="s">
        <v>107</v>
      </c>
      <c r="B82" t="s">
        <v>25</v>
      </c>
      <c r="C82" t="s">
        <v>11</v>
      </c>
      <c r="D82" t="s">
        <v>32</v>
      </c>
      <c r="E82" t="s">
        <v>13</v>
      </c>
      <c r="F82">
        <v>5</v>
      </c>
      <c r="G82">
        <v>64103.040000000001</v>
      </c>
      <c r="H82">
        <v>14</v>
      </c>
      <c r="I82">
        <v>42</v>
      </c>
      <c r="J82" t="str">
        <f t="shared" si="4"/>
        <v>Low Cost</v>
      </c>
      <c r="K82" s="4" t="str">
        <f t="shared" si="5"/>
        <v>Infant/Toddler</v>
      </c>
    </row>
    <row r="83" spans="1:11" x14ac:dyDescent="0.2">
      <c r="A83" t="s">
        <v>108</v>
      </c>
      <c r="B83" t="s">
        <v>22</v>
      </c>
      <c r="C83" t="s">
        <v>11</v>
      </c>
      <c r="D83" t="s">
        <v>12</v>
      </c>
      <c r="E83" t="s">
        <v>29</v>
      </c>
      <c r="F83">
        <v>13</v>
      </c>
      <c r="G83">
        <v>137441.75</v>
      </c>
      <c r="H83">
        <v>23</v>
      </c>
      <c r="I83">
        <v>74</v>
      </c>
      <c r="J83" t="str">
        <f t="shared" si="4"/>
        <v>High Cost</v>
      </c>
      <c r="K83" s="4" t="str">
        <f t="shared" si="5"/>
        <v>Teenager</v>
      </c>
    </row>
    <row r="84" spans="1:11" x14ac:dyDescent="0.2">
      <c r="A84" t="s">
        <v>109</v>
      </c>
      <c r="B84" t="s">
        <v>25</v>
      </c>
      <c r="C84" t="s">
        <v>11</v>
      </c>
      <c r="D84" t="s">
        <v>23</v>
      </c>
      <c r="E84" t="s">
        <v>13</v>
      </c>
      <c r="F84">
        <v>71</v>
      </c>
      <c r="G84">
        <v>11066.61</v>
      </c>
      <c r="H84">
        <v>17</v>
      </c>
      <c r="I84">
        <v>86</v>
      </c>
      <c r="J84" t="str">
        <f t="shared" si="4"/>
        <v>Low Cost</v>
      </c>
      <c r="K84" s="4" t="str">
        <f t="shared" si="5"/>
        <v>Senior/Elderly</v>
      </c>
    </row>
    <row r="85" spans="1:11" x14ac:dyDescent="0.2">
      <c r="A85" t="s">
        <v>110</v>
      </c>
      <c r="B85" t="s">
        <v>31</v>
      </c>
      <c r="C85" t="s">
        <v>16</v>
      </c>
      <c r="D85" t="s">
        <v>26</v>
      </c>
      <c r="E85" t="s">
        <v>13</v>
      </c>
      <c r="F85">
        <v>87</v>
      </c>
      <c r="G85">
        <v>36726.76</v>
      </c>
      <c r="H85">
        <v>4</v>
      </c>
      <c r="I85">
        <v>53</v>
      </c>
      <c r="J85" t="str">
        <f t="shared" si="4"/>
        <v>Low Cost</v>
      </c>
      <c r="K85" s="4" t="str">
        <f t="shared" si="5"/>
        <v>Senior/Elderly</v>
      </c>
    </row>
    <row r="86" spans="1:11" x14ac:dyDescent="0.2">
      <c r="A86" t="s">
        <v>111</v>
      </c>
      <c r="B86" t="s">
        <v>15</v>
      </c>
      <c r="C86" t="s">
        <v>16</v>
      </c>
      <c r="D86" t="s">
        <v>17</v>
      </c>
      <c r="E86" t="s">
        <v>29</v>
      </c>
      <c r="F86">
        <v>40</v>
      </c>
      <c r="G86">
        <v>19717.900000000001</v>
      </c>
      <c r="H86">
        <v>20</v>
      </c>
      <c r="I86">
        <v>63</v>
      </c>
      <c r="J86" t="str">
        <f t="shared" si="4"/>
        <v>Low Cost</v>
      </c>
      <c r="K86" s="4" t="str">
        <f t="shared" si="5"/>
        <v>Adult</v>
      </c>
    </row>
    <row r="87" spans="1:11" x14ac:dyDescent="0.2">
      <c r="A87" t="s">
        <v>112</v>
      </c>
      <c r="B87" t="s">
        <v>36</v>
      </c>
      <c r="C87" t="s">
        <v>16</v>
      </c>
      <c r="D87" t="s">
        <v>26</v>
      </c>
      <c r="E87" t="s">
        <v>29</v>
      </c>
      <c r="F87">
        <v>63</v>
      </c>
      <c r="G87">
        <v>82657.039999999994</v>
      </c>
      <c r="H87">
        <v>4</v>
      </c>
      <c r="I87">
        <v>55</v>
      </c>
      <c r="J87" t="str">
        <f t="shared" si="4"/>
        <v>High Cost</v>
      </c>
      <c r="K87" s="4" t="str">
        <f t="shared" si="5"/>
        <v>Senior/Elderly</v>
      </c>
    </row>
    <row r="88" spans="1:11" x14ac:dyDescent="0.2">
      <c r="A88" t="s">
        <v>113</v>
      </c>
      <c r="B88" t="s">
        <v>15</v>
      </c>
      <c r="C88" t="s">
        <v>16</v>
      </c>
      <c r="D88" t="s">
        <v>17</v>
      </c>
      <c r="E88" t="s">
        <v>29</v>
      </c>
      <c r="F88">
        <v>1</v>
      </c>
      <c r="G88">
        <v>16874.009999999998</v>
      </c>
      <c r="H88">
        <v>14</v>
      </c>
      <c r="I88">
        <v>76</v>
      </c>
      <c r="J88" t="str">
        <f t="shared" si="4"/>
        <v>Low Cost</v>
      </c>
      <c r="K88" s="4" t="str">
        <f t="shared" si="5"/>
        <v>Infant/Toddler</v>
      </c>
    </row>
    <row r="89" spans="1:11" x14ac:dyDescent="0.2">
      <c r="A89" t="s">
        <v>114</v>
      </c>
      <c r="B89" t="s">
        <v>15</v>
      </c>
      <c r="C89" t="s">
        <v>41</v>
      </c>
      <c r="D89" t="s">
        <v>12</v>
      </c>
      <c r="E89" t="s">
        <v>18</v>
      </c>
      <c r="F89">
        <v>37</v>
      </c>
      <c r="G89">
        <v>8578.83</v>
      </c>
      <c r="H89">
        <v>2</v>
      </c>
      <c r="I89">
        <v>90</v>
      </c>
      <c r="J89" t="str">
        <f t="shared" si="4"/>
        <v>Low Cost</v>
      </c>
      <c r="K89" s="4" t="str">
        <f t="shared" si="5"/>
        <v>Adult</v>
      </c>
    </row>
    <row r="90" spans="1:11" x14ac:dyDescent="0.2">
      <c r="A90" t="s">
        <v>115</v>
      </c>
      <c r="B90" t="s">
        <v>36</v>
      </c>
      <c r="C90" t="s">
        <v>11</v>
      </c>
      <c r="D90" t="s">
        <v>17</v>
      </c>
      <c r="E90" t="s">
        <v>18</v>
      </c>
      <c r="F90">
        <v>7</v>
      </c>
      <c r="G90">
        <v>22311.39</v>
      </c>
      <c r="H90">
        <v>14</v>
      </c>
      <c r="I90">
        <v>86</v>
      </c>
      <c r="J90" t="str">
        <f t="shared" si="4"/>
        <v>Low Cost</v>
      </c>
      <c r="K90" s="4" t="str">
        <f t="shared" si="5"/>
        <v>Child</v>
      </c>
    </row>
    <row r="91" spans="1:11" x14ac:dyDescent="0.2">
      <c r="A91" t="s">
        <v>116</v>
      </c>
      <c r="B91" t="s">
        <v>25</v>
      </c>
      <c r="C91" t="s">
        <v>41</v>
      </c>
      <c r="D91" t="s">
        <v>12</v>
      </c>
      <c r="E91" t="s">
        <v>29</v>
      </c>
      <c r="F91">
        <v>46</v>
      </c>
      <c r="G91">
        <v>128560.01</v>
      </c>
      <c r="H91">
        <v>7</v>
      </c>
      <c r="I91">
        <v>52</v>
      </c>
      <c r="J91" t="str">
        <f t="shared" si="4"/>
        <v>High Cost</v>
      </c>
      <c r="K91" s="4" t="str">
        <f t="shared" si="5"/>
        <v>Middle aged</v>
      </c>
    </row>
    <row r="92" spans="1:11" x14ac:dyDescent="0.2">
      <c r="A92" t="s">
        <v>117</v>
      </c>
      <c r="B92" t="s">
        <v>31</v>
      </c>
      <c r="C92" t="s">
        <v>11</v>
      </c>
      <c r="D92" t="s">
        <v>23</v>
      </c>
      <c r="E92" t="s">
        <v>29</v>
      </c>
      <c r="F92">
        <v>30</v>
      </c>
      <c r="G92">
        <v>147742.63</v>
      </c>
      <c r="H92">
        <v>28</v>
      </c>
      <c r="I92">
        <v>62</v>
      </c>
      <c r="J92" t="str">
        <f t="shared" si="4"/>
        <v>High Cost</v>
      </c>
      <c r="K92" s="4" t="str">
        <f t="shared" si="5"/>
        <v>Adult</v>
      </c>
    </row>
    <row r="93" spans="1:11" x14ac:dyDescent="0.2">
      <c r="A93" t="s">
        <v>118</v>
      </c>
      <c r="B93" t="s">
        <v>15</v>
      </c>
      <c r="C93" t="s">
        <v>11</v>
      </c>
      <c r="D93" t="s">
        <v>17</v>
      </c>
      <c r="E93" t="s">
        <v>29</v>
      </c>
      <c r="F93">
        <v>66</v>
      </c>
      <c r="G93">
        <v>54562.1</v>
      </c>
      <c r="H93">
        <v>21</v>
      </c>
      <c r="I93">
        <v>86</v>
      </c>
      <c r="J93" t="str">
        <f t="shared" si="4"/>
        <v>Low Cost</v>
      </c>
      <c r="K93" s="4" t="str">
        <f t="shared" si="5"/>
        <v>Senior/Elderly</v>
      </c>
    </row>
    <row r="94" spans="1:11" x14ac:dyDescent="0.2">
      <c r="A94" t="s">
        <v>119</v>
      </c>
      <c r="B94" t="s">
        <v>36</v>
      </c>
      <c r="C94" t="s">
        <v>28</v>
      </c>
      <c r="D94" t="s">
        <v>23</v>
      </c>
      <c r="E94" t="s">
        <v>29</v>
      </c>
      <c r="F94">
        <v>1</v>
      </c>
      <c r="G94">
        <v>146289.26999999999</v>
      </c>
      <c r="H94">
        <v>17</v>
      </c>
      <c r="I94">
        <v>47</v>
      </c>
      <c r="J94" t="str">
        <f t="shared" si="4"/>
        <v>High Cost</v>
      </c>
      <c r="K94" s="4" t="str">
        <f t="shared" si="5"/>
        <v>Infant/Toddler</v>
      </c>
    </row>
    <row r="95" spans="1:11" x14ac:dyDescent="0.2">
      <c r="A95" t="s">
        <v>120</v>
      </c>
      <c r="B95" t="s">
        <v>31</v>
      </c>
      <c r="C95" t="s">
        <v>41</v>
      </c>
      <c r="D95" t="s">
        <v>32</v>
      </c>
      <c r="E95" t="s">
        <v>29</v>
      </c>
      <c r="F95">
        <v>89</v>
      </c>
      <c r="G95">
        <v>128840.81</v>
      </c>
      <c r="H95">
        <v>22</v>
      </c>
      <c r="I95">
        <v>81</v>
      </c>
      <c r="J95" t="str">
        <f t="shared" si="4"/>
        <v>High Cost</v>
      </c>
      <c r="K95" s="4" t="str">
        <f t="shared" si="5"/>
        <v>Senior/Elderly</v>
      </c>
    </row>
    <row r="96" spans="1:11" x14ac:dyDescent="0.2">
      <c r="A96" t="s">
        <v>121</v>
      </c>
      <c r="B96" t="s">
        <v>22</v>
      </c>
      <c r="C96" t="s">
        <v>16</v>
      </c>
      <c r="D96" t="s">
        <v>17</v>
      </c>
      <c r="E96" t="s">
        <v>29</v>
      </c>
      <c r="F96">
        <v>48</v>
      </c>
      <c r="G96">
        <v>19629.22</v>
      </c>
      <c r="H96">
        <v>2</v>
      </c>
      <c r="I96">
        <v>95</v>
      </c>
      <c r="J96" t="str">
        <f t="shared" si="4"/>
        <v>Low Cost</v>
      </c>
      <c r="K96" s="4" t="str">
        <f t="shared" si="5"/>
        <v>Middle aged</v>
      </c>
    </row>
    <row r="97" spans="1:11" x14ac:dyDescent="0.2">
      <c r="A97" t="s">
        <v>122</v>
      </c>
      <c r="B97" t="s">
        <v>31</v>
      </c>
      <c r="C97" t="s">
        <v>28</v>
      </c>
      <c r="D97" t="s">
        <v>32</v>
      </c>
      <c r="E97" t="s">
        <v>13</v>
      </c>
      <c r="F97">
        <v>59</v>
      </c>
      <c r="G97">
        <v>73629.03</v>
      </c>
      <c r="H97">
        <v>10</v>
      </c>
      <c r="I97">
        <v>85</v>
      </c>
      <c r="J97" t="str">
        <f t="shared" si="4"/>
        <v>Low Cost</v>
      </c>
      <c r="K97" s="4" t="str">
        <f t="shared" si="5"/>
        <v>Middle aged</v>
      </c>
    </row>
    <row r="98" spans="1:11" x14ac:dyDescent="0.2">
      <c r="A98" t="s">
        <v>123</v>
      </c>
      <c r="B98" t="s">
        <v>25</v>
      </c>
      <c r="C98" t="s">
        <v>16</v>
      </c>
      <c r="D98" t="s">
        <v>32</v>
      </c>
      <c r="E98" t="s">
        <v>29</v>
      </c>
      <c r="F98">
        <v>54</v>
      </c>
      <c r="G98">
        <v>100747.7</v>
      </c>
      <c r="H98">
        <v>12</v>
      </c>
      <c r="I98">
        <v>74</v>
      </c>
      <c r="J98" t="str">
        <f t="shared" ref="J98:J129" si="6">IF(G98&gt;75000,"High Cost","Low Cost")</f>
        <v>High Cost</v>
      </c>
      <c r="K98" s="4" t="str">
        <f t="shared" ref="K98:K129" si="7">IF(F98&lt;=5,"Infant/Toddler",IF(F98&lt;=12,"Child",IF(F98&lt;=19,"Teenager",IF(F98&lt;=29,"Young Adult",IF(F98&lt;=44,"Adult",IF(F98&lt;=59,"Middle aged",IF(F98&lt;=90,"Senior/Elderly")))))))</f>
        <v>Middle aged</v>
      </c>
    </row>
    <row r="99" spans="1:11" x14ac:dyDescent="0.2">
      <c r="A99" t="s">
        <v>124</v>
      </c>
      <c r="B99" t="s">
        <v>15</v>
      </c>
      <c r="C99" t="s">
        <v>11</v>
      </c>
      <c r="D99" t="s">
        <v>12</v>
      </c>
      <c r="E99" t="s">
        <v>29</v>
      </c>
      <c r="F99">
        <v>35</v>
      </c>
      <c r="G99">
        <v>85523.17</v>
      </c>
      <c r="H99">
        <v>30</v>
      </c>
      <c r="I99">
        <v>90</v>
      </c>
      <c r="J99" t="str">
        <f t="shared" si="6"/>
        <v>High Cost</v>
      </c>
      <c r="K99" s="4" t="str">
        <f t="shared" si="7"/>
        <v>Adult</v>
      </c>
    </row>
    <row r="100" spans="1:11" x14ac:dyDescent="0.2">
      <c r="A100" t="s">
        <v>125</v>
      </c>
      <c r="B100" t="s">
        <v>31</v>
      </c>
      <c r="C100" t="s">
        <v>16</v>
      </c>
      <c r="D100" t="s">
        <v>23</v>
      </c>
      <c r="E100" t="s">
        <v>29</v>
      </c>
      <c r="F100">
        <v>33</v>
      </c>
      <c r="G100">
        <v>79151.14</v>
      </c>
      <c r="H100">
        <v>2</v>
      </c>
      <c r="I100">
        <v>56</v>
      </c>
      <c r="J100" t="str">
        <f t="shared" si="6"/>
        <v>High Cost</v>
      </c>
      <c r="K100" s="4" t="str">
        <f t="shared" si="7"/>
        <v>Adult</v>
      </c>
    </row>
    <row r="101" spans="1:11" x14ac:dyDescent="0.2">
      <c r="A101" t="s">
        <v>126</v>
      </c>
      <c r="B101" t="s">
        <v>36</v>
      </c>
      <c r="C101" t="s">
        <v>11</v>
      </c>
      <c r="D101" t="s">
        <v>23</v>
      </c>
      <c r="E101" t="s">
        <v>13</v>
      </c>
      <c r="F101">
        <v>30</v>
      </c>
      <c r="G101">
        <v>115395.67</v>
      </c>
      <c r="H101">
        <v>11</v>
      </c>
      <c r="I101">
        <v>74</v>
      </c>
      <c r="J101" t="str">
        <f t="shared" si="6"/>
        <v>High Cost</v>
      </c>
      <c r="K101" s="4" t="str">
        <f t="shared" si="7"/>
        <v>Adult</v>
      </c>
    </row>
    <row r="102" spans="1:11" x14ac:dyDescent="0.2">
      <c r="A102" t="s">
        <v>127</v>
      </c>
      <c r="B102" t="s">
        <v>22</v>
      </c>
      <c r="C102" t="s">
        <v>28</v>
      </c>
      <c r="D102" t="s">
        <v>12</v>
      </c>
      <c r="E102" t="s">
        <v>13</v>
      </c>
      <c r="F102">
        <v>60</v>
      </c>
      <c r="G102">
        <v>49131.44</v>
      </c>
      <c r="H102">
        <v>2</v>
      </c>
      <c r="I102">
        <v>44</v>
      </c>
      <c r="J102" t="str">
        <f t="shared" si="6"/>
        <v>Low Cost</v>
      </c>
      <c r="K102" s="4" t="str">
        <f t="shared" si="7"/>
        <v>Senior/Elderly</v>
      </c>
    </row>
    <row r="103" spans="1:11" x14ac:dyDescent="0.2">
      <c r="A103" t="s">
        <v>128</v>
      </c>
      <c r="B103" t="s">
        <v>31</v>
      </c>
      <c r="C103" t="s">
        <v>11</v>
      </c>
      <c r="D103" t="s">
        <v>23</v>
      </c>
      <c r="E103" t="s">
        <v>29</v>
      </c>
      <c r="F103">
        <v>70</v>
      </c>
      <c r="G103">
        <v>58132.5</v>
      </c>
      <c r="H103">
        <v>25</v>
      </c>
      <c r="I103">
        <v>43</v>
      </c>
      <c r="J103" t="str">
        <f t="shared" si="6"/>
        <v>Low Cost</v>
      </c>
      <c r="K103" s="4" t="str">
        <f t="shared" si="7"/>
        <v>Senior/Elderly</v>
      </c>
    </row>
    <row r="104" spans="1:11" x14ac:dyDescent="0.2">
      <c r="A104" t="s">
        <v>129</v>
      </c>
      <c r="B104" t="s">
        <v>36</v>
      </c>
      <c r="C104" t="s">
        <v>41</v>
      </c>
      <c r="D104" t="s">
        <v>12</v>
      </c>
      <c r="E104" t="s">
        <v>13</v>
      </c>
      <c r="F104">
        <v>6</v>
      </c>
      <c r="G104">
        <v>77311.77</v>
      </c>
      <c r="H104">
        <v>19</v>
      </c>
      <c r="I104">
        <v>90</v>
      </c>
      <c r="J104" t="str">
        <f t="shared" si="6"/>
        <v>High Cost</v>
      </c>
      <c r="K104" s="4" t="str">
        <f t="shared" si="7"/>
        <v>Child</v>
      </c>
    </row>
    <row r="105" spans="1:11" x14ac:dyDescent="0.2">
      <c r="A105" t="s">
        <v>130</v>
      </c>
      <c r="B105" t="s">
        <v>25</v>
      </c>
      <c r="C105" t="s">
        <v>28</v>
      </c>
      <c r="D105" t="s">
        <v>32</v>
      </c>
      <c r="E105" t="s">
        <v>29</v>
      </c>
      <c r="F105">
        <v>70</v>
      </c>
      <c r="G105">
        <v>14270.62</v>
      </c>
      <c r="H105">
        <v>24</v>
      </c>
      <c r="I105">
        <v>43</v>
      </c>
      <c r="J105" t="str">
        <f t="shared" si="6"/>
        <v>Low Cost</v>
      </c>
      <c r="K105" s="4" t="str">
        <f t="shared" si="7"/>
        <v>Senior/Elderly</v>
      </c>
    </row>
    <row r="106" spans="1:11" x14ac:dyDescent="0.2">
      <c r="A106" t="s">
        <v>131</v>
      </c>
      <c r="B106" t="s">
        <v>15</v>
      </c>
      <c r="C106" t="s">
        <v>28</v>
      </c>
      <c r="D106" t="s">
        <v>26</v>
      </c>
      <c r="E106" t="s">
        <v>13</v>
      </c>
      <c r="F106">
        <v>52</v>
      </c>
      <c r="G106">
        <v>97685.72</v>
      </c>
      <c r="H106">
        <v>28</v>
      </c>
      <c r="I106">
        <v>59</v>
      </c>
      <c r="J106" t="str">
        <f t="shared" si="6"/>
        <v>High Cost</v>
      </c>
      <c r="K106" s="4" t="str">
        <f t="shared" si="7"/>
        <v>Middle aged</v>
      </c>
    </row>
    <row r="107" spans="1:11" x14ac:dyDescent="0.2">
      <c r="A107" t="s">
        <v>132</v>
      </c>
      <c r="B107" t="s">
        <v>10</v>
      </c>
      <c r="C107" t="s">
        <v>16</v>
      </c>
      <c r="D107" t="s">
        <v>23</v>
      </c>
      <c r="E107" t="s">
        <v>18</v>
      </c>
      <c r="F107">
        <v>64</v>
      </c>
      <c r="G107">
        <v>142687.47</v>
      </c>
      <c r="H107">
        <v>27</v>
      </c>
      <c r="I107">
        <v>80</v>
      </c>
      <c r="J107" t="str">
        <f t="shared" si="6"/>
        <v>High Cost</v>
      </c>
      <c r="K107" s="4" t="str">
        <f t="shared" si="7"/>
        <v>Senior/Elderly</v>
      </c>
    </row>
    <row r="108" spans="1:11" x14ac:dyDescent="0.2">
      <c r="A108" t="s">
        <v>133</v>
      </c>
      <c r="B108" t="s">
        <v>31</v>
      </c>
      <c r="C108" t="s">
        <v>28</v>
      </c>
      <c r="D108" t="s">
        <v>17</v>
      </c>
      <c r="E108" t="s">
        <v>29</v>
      </c>
      <c r="F108">
        <v>35</v>
      </c>
      <c r="G108">
        <v>36754.51</v>
      </c>
      <c r="H108">
        <v>27</v>
      </c>
      <c r="I108">
        <v>49</v>
      </c>
      <c r="J108" t="str">
        <f t="shared" si="6"/>
        <v>Low Cost</v>
      </c>
      <c r="K108" s="4" t="str">
        <f t="shared" si="7"/>
        <v>Adult</v>
      </c>
    </row>
    <row r="109" spans="1:11" x14ac:dyDescent="0.2">
      <c r="A109" t="s">
        <v>134</v>
      </c>
      <c r="B109" t="s">
        <v>15</v>
      </c>
      <c r="C109" t="s">
        <v>16</v>
      </c>
      <c r="D109" t="s">
        <v>17</v>
      </c>
      <c r="E109" t="s">
        <v>29</v>
      </c>
      <c r="F109">
        <v>62</v>
      </c>
      <c r="G109">
        <v>34938.57</v>
      </c>
      <c r="H109">
        <v>8</v>
      </c>
      <c r="I109">
        <v>70</v>
      </c>
      <c r="J109" t="str">
        <f t="shared" si="6"/>
        <v>Low Cost</v>
      </c>
      <c r="K109" s="4" t="str">
        <f t="shared" si="7"/>
        <v>Senior/Elderly</v>
      </c>
    </row>
    <row r="110" spans="1:11" x14ac:dyDescent="0.2">
      <c r="A110" t="s">
        <v>135</v>
      </c>
      <c r="B110" t="s">
        <v>22</v>
      </c>
      <c r="C110" t="s">
        <v>28</v>
      </c>
      <c r="D110" t="s">
        <v>12</v>
      </c>
      <c r="E110" t="s">
        <v>13</v>
      </c>
      <c r="F110">
        <v>22</v>
      </c>
      <c r="G110">
        <v>97228.49</v>
      </c>
      <c r="H110">
        <v>7</v>
      </c>
      <c r="I110">
        <v>60</v>
      </c>
      <c r="J110" t="str">
        <f t="shared" si="6"/>
        <v>High Cost</v>
      </c>
      <c r="K110" s="4" t="str">
        <f t="shared" si="7"/>
        <v>Young Adult</v>
      </c>
    </row>
    <row r="111" spans="1:11" x14ac:dyDescent="0.2">
      <c r="A111" t="s">
        <v>136</v>
      </c>
      <c r="B111" t="s">
        <v>25</v>
      </c>
      <c r="C111" t="s">
        <v>28</v>
      </c>
      <c r="D111" t="s">
        <v>17</v>
      </c>
      <c r="E111" t="s">
        <v>13</v>
      </c>
      <c r="F111">
        <v>42</v>
      </c>
      <c r="G111">
        <v>91441.1</v>
      </c>
      <c r="H111">
        <v>22</v>
      </c>
      <c r="I111">
        <v>84</v>
      </c>
      <c r="J111" t="str">
        <f t="shared" si="6"/>
        <v>High Cost</v>
      </c>
      <c r="K111" s="4" t="str">
        <f t="shared" si="7"/>
        <v>Adult</v>
      </c>
    </row>
    <row r="112" spans="1:11" x14ac:dyDescent="0.2">
      <c r="A112" t="s">
        <v>137</v>
      </c>
      <c r="B112" t="s">
        <v>10</v>
      </c>
      <c r="C112" t="s">
        <v>41</v>
      </c>
      <c r="D112" t="s">
        <v>32</v>
      </c>
      <c r="E112" t="s">
        <v>13</v>
      </c>
      <c r="F112">
        <v>24</v>
      </c>
      <c r="G112">
        <v>139624.06</v>
      </c>
      <c r="H112">
        <v>5</v>
      </c>
      <c r="I112">
        <v>55</v>
      </c>
      <c r="J112" t="str">
        <f t="shared" si="6"/>
        <v>High Cost</v>
      </c>
      <c r="K112" s="4" t="str">
        <f t="shared" si="7"/>
        <v>Young Adult</v>
      </c>
    </row>
    <row r="113" spans="1:11" x14ac:dyDescent="0.2">
      <c r="A113" t="s">
        <v>138</v>
      </c>
      <c r="B113" t="s">
        <v>25</v>
      </c>
      <c r="C113" t="s">
        <v>16</v>
      </c>
      <c r="D113" t="s">
        <v>12</v>
      </c>
      <c r="E113" t="s">
        <v>29</v>
      </c>
      <c r="F113">
        <v>17</v>
      </c>
      <c r="G113">
        <v>86650.5</v>
      </c>
      <c r="H113">
        <v>3</v>
      </c>
      <c r="I113">
        <v>53</v>
      </c>
      <c r="J113" t="str">
        <f t="shared" si="6"/>
        <v>High Cost</v>
      </c>
      <c r="K113" s="4" t="str">
        <f t="shared" si="7"/>
        <v>Teenager</v>
      </c>
    </row>
    <row r="114" spans="1:11" x14ac:dyDescent="0.2">
      <c r="A114" t="s">
        <v>139</v>
      </c>
      <c r="B114" t="s">
        <v>31</v>
      </c>
      <c r="C114" t="s">
        <v>11</v>
      </c>
      <c r="D114" t="s">
        <v>17</v>
      </c>
      <c r="E114" t="s">
        <v>18</v>
      </c>
      <c r="F114">
        <v>75</v>
      </c>
      <c r="G114">
        <v>85517.09</v>
      </c>
      <c r="H114">
        <v>6</v>
      </c>
      <c r="I114">
        <v>79</v>
      </c>
      <c r="J114" t="str">
        <f t="shared" si="6"/>
        <v>High Cost</v>
      </c>
      <c r="K114" s="4" t="str">
        <f t="shared" si="7"/>
        <v>Senior/Elderly</v>
      </c>
    </row>
    <row r="115" spans="1:11" x14ac:dyDescent="0.2">
      <c r="A115" t="s">
        <v>140</v>
      </c>
      <c r="B115" t="s">
        <v>10</v>
      </c>
      <c r="C115" t="s">
        <v>11</v>
      </c>
      <c r="D115" t="s">
        <v>17</v>
      </c>
      <c r="E115" t="s">
        <v>13</v>
      </c>
      <c r="F115">
        <v>47</v>
      </c>
      <c r="G115">
        <v>134120.62</v>
      </c>
      <c r="H115">
        <v>11</v>
      </c>
      <c r="I115">
        <v>92</v>
      </c>
      <c r="J115" t="str">
        <f t="shared" si="6"/>
        <v>High Cost</v>
      </c>
      <c r="K115" s="4" t="str">
        <f t="shared" si="7"/>
        <v>Middle aged</v>
      </c>
    </row>
    <row r="116" spans="1:11" x14ac:dyDescent="0.2">
      <c r="A116" t="s">
        <v>141</v>
      </c>
      <c r="B116" t="s">
        <v>22</v>
      </c>
      <c r="C116" t="s">
        <v>41</v>
      </c>
      <c r="D116" t="s">
        <v>23</v>
      </c>
      <c r="E116" t="s">
        <v>29</v>
      </c>
      <c r="F116">
        <v>81</v>
      </c>
      <c r="G116">
        <v>22593.06</v>
      </c>
      <c r="H116">
        <v>6</v>
      </c>
      <c r="I116">
        <v>67</v>
      </c>
      <c r="J116" t="str">
        <f t="shared" si="6"/>
        <v>Low Cost</v>
      </c>
      <c r="K116" s="4" t="str">
        <f t="shared" si="7"/>
        <v>Senior/Elderly</v>
      </c>
    </row>
    <row r="117" spans="1:11" x14ac:dyDescent="0.2">
      <c r="A117" t="s">
        <v>142</v>
      </c>
      <c r="B117" t="s">
        <v>10</v>
      </c>
      <c r="C117" t="s">
        <v>28</v>
      </c>
      <c r="D117" t="s">
        <v>23</v>
      </c>
      <c r="E117" t="s">
        <v>18</v>
      </c>
      <c r="F117">
        <v>20</v>
      </c>
      <c r="G117">
        <v>88741.64</v>
      </c>
      <c r="H117">
        <v>26</v>
      </c>
      <c r="I117">
        <v>99</v>
      </c>
      <c r="J117" t="str">
        <f t="shared" si="6"/>
        <v>High Cost</v>
      </c>
      <c r="K117" s="4" t="str">
        <f t="shared" si="7"/>
        <v>Young Adult</v>
      </c>
    </row>
    <row r="118" spans="1:11" x14ac:dyDescent="0.2">
      <c r="A118" t="s">
        <v>143</v>
      </c>
      <c r="B118" t="s">
        <v>10</v>
      </c>
      <c r="C118" t="s">
        <v>16</v>
      </c>
      <c r="D118" t="s">
        <v>17</v>
      </c>
      <c r="E118" t="s">
        <v>18</v>
      </c>
      <c r="F118">
        <v>14</v>
      </c>
      <c r="G118">
        <v>10917.19</v>
      </c>
      <c r="H118">
        <v>22</v>
      </c>
      <c r="I118">
        <v>43</v>
      </c>
      <c r="J118" t="str">
        <f t="shared" si="6"/>
        <v>Low Cost</v>
      </c>
      <c r="K118" s="4" t="str">
        <f t="shared" si="7"/>
        <v>Teenager</v>
      </c>
    </row>
    <row r="119" spans="1:11" x14ac:dyDescent="0.2">
      <c r="A119" t="s">
        <v>144</v>
      </c>
      <c r="B119" t="s">
        <v>10</v>
      </c>
      <c r="C119" t="s">
        <v>41</v>
      </c>
      <c r="D119" t="s">
        <v>32</v>
      </c>
      <c r="E119" t="s">
        <v>13</v>
      </c>
      <c r="F119">
        <v>30</v>
      </c>
      <c r="G119">
        <v>97613.71</v>
      </c>
      <c r="H119">
        <v>24</v>
      </c>
      <c r="I119">
        <v>72</v>
      </c>
      <c r="J119" t="str">
        <f t="shared" si="6"/>
        <v>High Cost</v>
      </c>
      <c r="K119" s="4" t="str">
        <f t="shared" si="7"/>
        <v>Adult</v>
      </c>
    </row>
    <row r="120" spans="1:11" x14ac:dyDescent="0.2">
      <c r="A120" t="s">
        <v>145</v>
      </c>
      <c r="B120" t="s">
        <v>36</v>
      </c>
      <c r="C120" t="s">
        <v>41</v>
      </c>
      <c r="D120" t="s">
        <v>23</v>
      </c>
      <c r="E120" t="s">
        <v>13</v>
      </c>
      <c r="F120">
        <v>81</v>
      </c>
      <c r="G120">
        <v>135711.26999999999</v>
      </c>
      <c r="H120">
        <v>14</v>
      </c>
      <c r="I120">
        <v>99</v>
      </c>
      <c r="J120" t="str">
        <f t="shared" si="6"/>
        <v>High Cost</v>
      </c>
      <c r="K120" s="4" t="str">
        <f t="shared" si="7"/>
        <v>Senior/Elderly</v>
      </c>
    </row>
    <row r="121" spans="1:11" x14ac:dyDescent="0.2">
      <c r="A121" t="s">
        <v>146</v>
      </c>
      <c r="B121" t="s">
        <v>15</v>
      </c>
      <c r="C121" t="s">
        <v>16</v>
      </c>
      <c r="D121" t="s">
        <v>23</v>
      </c>
      <c r="E121" t="s">
        <v>13</v>
      </c>
      <c r="F121">
        <v>48</v>
      </c>
      <c r="G121">
        <v>117464.18</v>
      </c>
      <c r="H121">
        <v>2</v>
      </c>
      <c r="I121">
        <v>61</v>
      </c>
      <c r="J121" t="str">
        <f t="shared" si="6"/>
        <v>High Cost</v>
      </c>
      <c r="K121" s="4" t="str">
        <f t="shared" si="7"/>
        <v>Middle aged</v>
      </c>
    </row>
    <row r="122" spans="1:11" x14ac:dyDescent="0.2">
      <c r="A122" t="s">
        <v>147</v>
      </c>
      <c r="B122" t="s">
        <v>22</v>
      </c>
      <c r="C122" t="s">
        <v>16</v>
      </c>
      <c r="D122" t="s">
        <v>23</v>
      </c>
      <c r="E122" t="s">
        <v>29</v>
      </c>
      <c r="F122">
        <v>45</v>
      </c>
      <c r="G122">
        <v>89474.55</v>
      </c>
      <c r="H122">
        <v>21</v>
      </c>
      <c r="I122">
        <v>64</v>
      </c>
      <c r="J122" t="str">
        <f t="shared" si="6"/>
        <v>High Cost</v>
      </c>
      <c r="K122" s="4" t="str">
        <f t="shared" si="7"/>
        <v>Middle aged</v>
      </c>
    </row>
    <row r="123" spans="1:11" x14ac:dyDescent="0.2">
      <c r="A123" t="s">
        <v>148</v>
      </c>
      <c r="B123" t="s">
        <v>10</v>
      </c>
      <c r="C123" t="s">
        <v>41</v>
      </c>
      <c r="D123" t="s">
        <v>32</v>
      </c>
      <c r="E123" t="s">
        <v>29</v>
      </c>
      <c r="F123">
        <v>1</v>
      </c>
      <c r="G123">
        <v>105954.09</v>
      </c>
      <c r="H123">
        <v>12</v>
      </c>
      <c r="I123">
        <v>95</v>
      </c>
      <c r="J123" t="str">
        <f t="shared" si="6"/>
        <v>High Cost</v>
      </c>
      <c r="K123" s="4" t="str">
        <f t="shared" si="7"/>
        <v>Infant/Toddler</v>
      </c>
    </row>
    <row r="124" spans="1:11" x14ac:dyDescent="0.2">
      <c r="A124" t="s">
        <v>149</v>
      </c>
      <c r="B124" t="s">
        <v>15</v>
      </c>
      <c r="C124" t="s">
        <v>28</v>
      </c>
      <c r="D124" t="s">
        <v>26</v>
      </c>
      <c r="E124" t="s">
        <v>13</v>
      </c>
      <c r="F124">
        <v>30</v>
      </c>
      <c r="G124">
        <v>91267.91</v>
      </c>
      <c r="H124">
        <v>17</v>
      </c>
      <c r="I124">
        <v>76</v>
      </c>
      <c r="J124" t="str">
        <f t="shared" si="6"/>
        <v>High Cost</v>
      </c>
      <c r="K124" s="4" t="str">
        <f t="shared" si="7"/>
        <v>Adult</v>
      </c>
    </row>
    <row r="125" spans="1:11" x14ac:dyDescent="0.2">
      <c r="A125" t="s">
        <v>150</v>
      </c>
      <c r="B125" t="s">
        <v>36</v>
      </c>
      <c r="C125" t="s">
        <v>11</v>
      </c>
      <c r="D125" t="s">
        <v>26</v>
      </c>
      <c r="E125" t="s">
        <v>13</v>
      </c>
      <c r="F125">
        <v>3</v>
      </c>
      <c r="G125">
        <v>46506.94</v>
      </c>
      <c r="H125">
        <v>9</v>
      </c>
      <c r="I125">
        <v>72</v>
      </c>
      <c r="J125" t="str">
        <f t="shared" si="6"/>
        <v>Low Cost</v>
      </c>
      <c r="K125" s="4" t="str">
        <f t="shared" si="7"/>
        <v>Infant/Toddler</v>
      </c>
    </row>
    <row r="126" spans="1:11" x14ac:dyDescent="0.2">
      <c r="A126" t="s">
        <v>151</v>
      </c>
      <c r="B126" t="s">
        <v>31</v>
      </c>
      <c r="C126" t="s">
        <v>41</v>
      </c>
      <c r="D126" t="s">
        <v>17</v>
      </c>
      <c r="E126" t="s">
        <v>13</v>
      </c>
      <c r="F126">
        <v>78</v>
      </c>
      <c r="G126">
        <v>40568.300000000003</v>
      </c>
      <c r="H126">
        <v>18</v>
      </c>
      <c r="I126">
        <v>91</v>
      </c>
      <c r="J126" t="str">
        <f t="shared" si="6"/>
        <v>Low Cost</v>
      </c>
      <c r="K126" s="4" t="str">
        <f t="shared" si="7"/>
        <v>Senior/Elderly</v>
      </c>
    </row>
    <row r="127" spans="1:11" x14ac:dyDescent="0.2">
      <c r="A127" t="s">
        <v>152</v>
      </c>
      <c r="B127" t="s">
        <v>22</v>
      </c>
      <c r="C127" t="s">
        <v>11</v>
      </c>
      <c r="D127" t="s">
        <v>32</v>
      </c>
      <c r="E127" t="s">
        <v>18</v>
      </c>
      <c r="F127">
        <v>35</v>
      </c>
      <c r="G127">
        <v>132265.98000000001</v>
      </c>
      <c r="H127">
        <v>7</v>
      </c>
      <c r="I127">
        <v>45</v>
      </c>
      <c r="J127" t="str">
        <f t="shared" si="6"/>
        <v>High Cost</v>
      </c>
      <c r="K127" s="4" t="str">
        <f t="shared" si="7"/>
        <v>Adult</v>
      </c>
    </row>
    <row r="128" spans="1:11" x14ac:dyDescent="0.2">
      <c r="A128" t="s">
        <v>153</v>
      </c>
      <c r="B128" t="s">
        <v>15</v>
      </c>
      <c r="C128" t="s">
        <v>41</v>
      </c>
      <c r="D128" t="s">
        <v>23</v>
      </c>
      <c r="E128" t="s">
        <v>18</v>
      </c>
      <c r="F128">
        <v>88</v>
      </c>
      <c r="G128">
        <v>50993.47</v>
      </c>
      <c r="H128">
        <v>4</v>
      </c>
      <c r="I128">
        <v>82</v>
      </c>
      <c r="J128" t="str">
        <f t="shared" si="6"/>
        <v>Low Cost</v>
      </c>
      <c r="K128" s="4" t="str">
        <f t="shared" si="7"/>
        <v>Senior/Elderly</v>
      </c>
    </row>
    <row r="129" spans="1:11" x14ac:dyDescent="0.2">
      <c r="A129" t="s">
        <v>154</v>
      </c>
      <c r="B129" t="s">
        <v>22</v>
      </c>
      <c r="C129" t="s">
        <v>41</v>
      </c>
      <c r="D129" t="s">
        <v>17</v>
      </c>
      <c r="E129" t="s">
        <v>18</v>
      </c>
      <c r="F129">
        <v>7</v>
      </c>
      <c r="G129">
        <v>135590.48000000001</v>
      </c>
      <c r="H129">
        <v>6</v>
      </c>
      <c r="I129">
        <v>46</v>
      </c>
      <c r="J129" t="str">
        <f t="shared" si="6"/>
        <v>High Cost</v>
      </c>
      <c r="K129" s="4" t="str">
        <f t="shared" si="7"/>
        <v>Child</v>
      </c>
    </row>
    <row r="130" spans="1:11" x14ac:dyDescent="0.2">
      <c r="A130" t="s">
        <v>155</v>
      </c>
      <c r="B130" t="s">
        <v>15</v>
      </c>
      <c r="C130" t="s">
        <v>41</v>
      </c>
      <c r="D130" t="s">
        <v>32</v>
      </c>
      <c r="E130" t="s">
        <v>13</v>
      </c>
      <c r="F130">
        <v>73</v>
      </c>
      <c r="G130">
        <v>148956.56</v>
      </c>
      <c r="H130">
        <v>6</v>
      </c>
      <c r="I130">
        <v>100</v>
      </c>
      <c r="J130" t="str">
        <f t="shared" ref="J130:J161" si="8">IF(G130&gt;75000,"High Cost","Low Cost")</f>
        <v>High Cost</v>
      </c>
      <c r="K130" s="4" t="str">
        <f t="shared" ref="K130:K161" si="9">IF(F130&lt;=5,"Infant/Toddler",IF(F130&lt;=12,"Child",IF(F130&lt;=19,"Teenager",IF(F130&lt;=29,"Young Adult",IF(F130&lt;=44,"Adult",IF(F130&lt;=59,"Middle aged",IF(F130&lt;=90,"Senior/Elderly")))))))</f>
        <v>Senior/Elderly</v>
      </c>
    </row>
    <row r="131" spans="1:11" x14ac:dyDescent="0.2">
      <c r="A131" t="s">
        <v>156</v>
      </c>
      <c r="B131" t="s">
        <v>25</v>
      </c>
      <c r="C131" t="s">
        <v>16</v>
      </c>
      <c r="D131" t="s">
        <v>12</v>
      </c>
      <c r="E131" t="s">
        <v>18</v>
      </c>
      <c r="F131">
        <v>83</v>
      </c>
      <c r="G131">
        <v>71584.960000000006</v>
      </c>
      <c r="H131">
        <v>26</v>
      </c>
      <c r="I131">
        <v>55</v>
      </c>
      <c r="J131" t="str">
        <f t="shared" si="8"/>
        <v>Low Cost</v>
      </c>
      <c r="K131" s="4" t="str">
        <f t="shared" si="9"/>
        <v>Senior/Elderly</v>
      </c>
    </row>
    <row r="132" spans="1:11" x14ac:dyDescent="0.2">
      <c r="A132" t="s">
        <v>157</v>
      </c>
      <c r="B132" t="s">
        <v>22</v>
      </c>
      <c r="C132" t="s">
        <v>28</v>
      </c>
      <c r="D132" t="s">
        <v>17</v>
      </c>
      <c r="E132" t="s">
        <v>29</v>
      </c>
      <c r="F132">
        <v>37</v>
      </c>
      <c r="G132">
        <v>78613.16</v>
      </c>
      <c r="H132">
        <v>20</v>
      </c>
      <c r="I132">
        <v>85</v>
      </c>
      <c r="J132" t="str">
        <f t="shared" si="8"/>
        <v>High Cost</v>
      </c>
      <c r="K132" s="4" t="str">
        <f t="shared" si="9"/>
        <v>Adult</v>
      </c>
    </row>
    <row r="133" spans="1:11" x14ac:dyDescent="0.2">
      <c r="A133" t="s">
        <v>158</v>
      </c>
      <c r="B133" t="s">
        <v>22</v>
      </c>
      <c r="C133" t="s">
        <v>11</v>
      </c>
      <c r="D133" t="s">
        <v>23</v>
      </c>
      <c r="E133" t="s">
        <v>18</v>
      </c>
      <c r="F133">
        <v>53</v>
      </c>
      <c r="G133">
        <v>103548.4</v>
      </c>
      <c r="H133">
        <v>27</v>
      </c>
      <c r="I133">
        <v>74</v>
      </c>
      <c r="J133" t="str">
        <f t="shared" si="8"/>
        <v>High Cost</v>
      </c>
      <c r="K133" s="4" t="str">
        <f t="shared" si="9"/>
        <v>Middle aged</v>
      </c>
    </row>
    <row r="134" spans="1:11" x14ac:dyDescent="0.2">
      <c r="A134" t="s">
        <v>159</v>
      </c>
      <c r="B134" t="s">
        <v>31</v>
      </c>
      <c r="C134" t="s">
        <v>11</v>
      </c>
      <c r="D134" t="s">
        <v>32</v>
      </c>
      <c r="E134" t="s">
        <v>29</v>
      </c>
      <c r="F134">
        <v>50</v>
      </c>
      <c r="G134">
        <v>62134.18</v>
      </c>
      <c r="H134">
        <v>13</v>
      </c>
      <c r="I134">
        <v>40</v>
      </c>
      <c r="J134" t="str">
        <f t="shared" si="8"/>
        <v>Low Cost</v>
      </c>
      <c r="K134" s="4" t="str">
        <f t="shared" si="9"/>
        <v>Middle aged</v>
      </c>
    </row>
    <row r="135" spans="1:11" x14ac:dyDescent="0.2">
      <c r="A135" t="s">
        <v>160</v>
      </c>
      <c r="B135" t="s">
        <v>36</v>
      </c>
      <c r="C135" t="s">
        <v>41</v>
      </c>
      <c r="D135" t="s">
        <v>32</v>
      </c>
      <c r="E135" t="s">
        <v>18</v>
      </c>
      <c r="F135">
        <v>7</v>
      </c>
      <c r="G135">
        <v>59235.13</v>
      </c>
      <c r="H135">
        <v>12</v>
      </c>
      <c r="I135">
        <v>42</v>
      </c>
      <c r="J135" t="str">
        <f t="shared" si="8"/>
        <v>Low Cost</v>
      </c>
      <c r="K135" s="4" t="str">
        <f t="shared" si="9"/>
        <v>Child</v>
      </c>
    </row>
    <row r="136" spans="1:11" x14ac:dyDescent="0.2">
      <c r="A136" t="s">
        <v>161</v>
      </c>
      <c r="B136" t="s">
        <v>10</v>
      </c>
      <c r="C136" t="s">
        <v>28</v>
      </c>
      <c r="D136" t="s">
        <v>32</v>
      </c>
      <c r="E136" t="s">
        <v>18</v>
      </c>
      <c r="F136">
        <v>38</v>
      </c>
      <c r="G136">
        <v>118022.05</v>
      </c>
      <c r="H136">
        <v>17</v>
      </c>
      <c r="I136">
        <v>79</v>
      </c>
      <c r="J136" t="str">
        <f t="shared" si="8"/>
        <v>High Cost</v>
      </c>
      <c r="K136" s="4" t="str">
        <f t="shared" si="9"/>
        <v>Adult</v>
      </c>
    </row>
    <row r="137" spans="1:11" x14ac:dyDescent="0.2">
      <c r="A137" t="s">
        <v>162</v>
      </c>
      <c r="B137" t="s">
        <v>25</v>
      </c>
      <c r="C137" t="s">
        <v>11</v>
      </c>
      <c r="D137" t="s">
        <v>26</v>
      </c>
      <c r="E137" t="s">
        <v>13</v>
      </c>
      <c r="F137">
        <v>49</v>
      </c>
      <c r="G137">
        <v>127750.62</v>
      </c>
      <c r="H137">
        <v>18</v>
      </c>
      <c r="I137">
        <v>60</v>
      </c>
      <c r="J137" t="str">
        <f t="shared" si="8"/>
        <v>High Cost</v>
      </c>
      <c r="K137" s="4" t="str">
        <f t="shared" si="9"/>
        <v>Middle aged</v>
      </c>
    </row>
    <row r="138" spans="1:11" x14ac:dyDescent="0.2">
      <c r="A138" t="s">
        <v>163</v>
      </c>
      <c r="B138" t="s">
        <v>15</v>
      </c>
      <c r="C138" t="s">
        <v>28</v>
      </c>
      <c r="D138" t="s">
        <v>17</v>
      </c>
      <c r="E138" t="s">
        <v>29</v>
      </c>
      <c r="F138">
        <v>27</v>
      </c>
      <c r="G138">
        <v>79666.86</v>
      </c>
      <c r="H138">
        <v>16</v>
      </c>
      <c r="I138">
        <v>85</v>
      </c>
      <c r="J138" t="str">
        <f t="shared" si="8"/>
        <v>High Cost</v>
      </c>
      <c r="K138" s="4" t="str">
        <f t="shared" si="9"/>
        <v>Young Adult</v>
      </c>
    </row>
    <row r="139" spans="1:11" x14ac:dyDescent="0.2">
      <c r="A139" t="s">
        <v>164</v>
      </c>
      <c r="B139" t="s">
        <v>22</v>
      </c>
      <c r="C139" t="s">
        <v>41</v>
      </c>
      <c r="D139" t="s">
        <v>12</v>
      </c>
      <c r="E139" t="s">
        <v>13</v>
      </c>
      <c r="F139">
        <v>65</v>
      </c>
      <c r="G139">
        <v>120956.04</v>
      </c>
      <c r="H139">
        <v>25</v>
      </c>
      <c r="I139">
        <v>95</v>
      </c>
      <c r="J139" t="str">
        <f t="shared" si="8"/>
        <v>High Cost</v>
      </c>
      <c r="K139" s="4" t="str">
        <f t="shared" si="9"/>
        <v>Senior/Elderly</v>
      </c>
    </row>
    <row r="140" spans="1:11" x14ac:dyDescent="0.2">
      <c r="A140" t="s">
        <v>165</v>
      </c>
      <c r="B140" t="s">
        <v>10</v>
      </c>
      <c r="C140" t="s">
        <v>28</v>
      </c>
      <c r="D140" t="s">
        <v>26</v>
      </c>
      <c r="E140" t="s">
        <v>18</v>
      </c>
      <c r="F140">
        <v>58</v>
      </c>
      <c r="G140">
        <v>100338.81</v>
      </c>
      <c r="H140">
        <v>7</v>
      </c>
      <c r="I140">
        <v>59</v>
      </c>
      <c r="J140" t="str">
        <f t="shared" si="8"/>
        <v>High Cost</v>
      </c>
      <c r="K140" s="4" t="str">
        <f t="shared" si="9"/>
        <v>Middle aged</v>
      </c>
    </row>
    <row r="141" spans="1:11" x14ac:dyDescent="0.2">
      <c r="A141" t="s">
        <v>166</v>
      </c>
      <c r="B141" t="s">
        <v>31</v>
      </c>
      <c r="C141" t="s">
        <v>28</v>
      </c>
      <c r="D141" t="s">
        <v>12</v>
      </c>
      <c r="E141" t="s">
        <v>13</v>
      </c>
      <c r="F141">
        <v>22</v>
      </c>
      <c r="G141">
        <v>120621.62</v>
      </c>
      <c r="H141">
        <v>21</v>
      </c>
      <c r="I141">
        <v>74</v>
      </c>
      <c r="J141" t="str">
        <f t="shared" si="8"/>
        <v>High Cost</v>
      </c>
      <c r="K141" s="4" t="str">
        <f t="shared" si="9"/>
        <v>Young Adult</v>
      </c>
    </row>
    <row r="142" spans="1:11" x14ac:dyDescent="0.2">
      <c r="A142" t="s">
        <v>167</v>
      </c>
      <c r="B142" t="s">
        <v>10</v>
      </c>
      <c r="C142" t="s">
        <v>28</v>
      </c>
      <c r="D142" t="s">
        <v>23</v>
      </c>
      <c r="E142" t="s">
        <v>18</v>
      </c>
      <c r="F142">
        <v>10</v>
      </c>
      <c r="G142">
        <v>21143.75</v>
      </c>
      <c r="H142">
        <v>2</v>
      </c>
      <c r="I142">
        <v>42</v>
      </c>
      <c r="J142" t="str">
        <f t="shared" si="8"/>
        <v>Low Cost</v>
      </c>
      <c r="K142" s="4" t="str">
        <f t="shared" si="9"/>
        <v>Child</v>
      </c>
    </row>
    <row r="143" spans="1:11" x14ac:dyDescent="0.2">
      <c r="A143" t="s">
        <v>168</v>
      </c>
      <c r="B143" t="s">
        <v>31</v>
      </c>
      <c r="C143" t="s">
        <v>28</v>
      </c>
      <c r="D143" t="s">
        <v>32</v>
      </c>
      <c r="E143" t="s">
        <v>29</v>
      </c>
      <c r="F143">
        <v>37</v>
      </c>
      <c r="G143">
        <v>58168.06</v>
      </c>
      <c r="H143">
        <v>3</v>
      </c>
      <c r="I143">
        <v>84</v>
      </c>
      <c r="J143" t="str">
        <f t="shared" si="8"/>
        <v>Low Cost</v>
      </c>
      <c r="K143" s="4" t="str">
        <f t="shared" si="9"/>
        <v>Adult</v>
      </c>
    </row>
    <row r="144" spans="1:11" x14ac:dyDescent="0.2">
      <c r="A144" t="s">
        <v>169</v>
      </c>
      <c r="B144" t="s">
        <v>15</v>
      </c>
      <c r="C144" t="s">
        <v>41</v>
      </c>
      <c r="D144" t="s">
        <v>32</v>
      </c>
      <c r="E144" t="s">
        <v>13</v>
      </c>
      <c r="F144">
        <v>57</v>
      </c>
      <c r="G144">
        <v>121600.57</v>
      </c>
      <c r="H144">
        <v>19</v>
      </c>
      <c r="I144">
        <v>94</v>
      </c>
      <c r="J144" t="str">
        <f t="shared" si="8"/>
        <v>High Cost</v>
      </c>
      <c r="K144" s="4" t="str">
        <f t="shared" si="9"/>
        <v>Middle aged</v>
      </c>
    </row>
    <row r="145" spans="1:11" x14ac:dyDescent="0.2">
      <c r="A145" t="s">
        <v>170</v>
      </c>
      <c r="B145" t="s">
        <v>25</v>
      </c>
      <c r="C145" t="s">
        <v>16</v>
      </c>
      <c r="D145" t="s">
        <v>26</v>
      </c>
      <c r="E145" t="s">
        <v>18</v>
      </c>
      <c r="F145">
        <v>26</v>
      </c>
      <c r="G145">
        <v>60409.31</v>
      </c>
      <c r="H145">
        <v>25</v>
      </c>
      <c r="I145">
        <v>94</v>
      </c>
      <c r="J145" t="str">
        <f t="shared" si="8"/>
        <v>Low Cost</v>
      </c>
      <c r="K145" s="4" t="str">
        <f t="shared" si="9"/>
        <v>Young Adult</v>
      </c>
    </row>
    <row r="146" spans="1:11" x14ac:dyDescent="0.2">
      <c r="A146" t="s">
        <v>171</v>
      </c>
      <c r="B146" t="s">
        <v>10</v>
      </c>
      <c r="C146" t="s">
        <v>16</v>
      </c>
      <c r="D146" t="s">
        <v>23</v>
      </c>
      <c r="E146" t="s">
        <v>18</v>
      </c>
      <c r="F146">
        <v>51</v>
      </c>
      <c r="G146">
        <v>148766.01</v>
      </c>
      <c r="H146">
        <v>21</v>
      </c>
      <c r="I146">
        <v>76</v>
      </c>
      <c r="J146" t="str">
        <f t="shared" si="8"/>
        <v>High Cost</v>
      </c>
      <c r="K146" s="4" t="str">
        <f t="shared" si="9"/>
        <v>Middle aged</v>
      </c>
    </row>
    <row r="147" spans="1:11" x14ac:dyDescent="0.2">
      <c r="A147" t="s">
        <v>172</v>
      </c>
      <c r="B147" t="s">
        <v>10</v>
      </c>
      <c r="C147" t="s">
        <v>28</v>
      </c>
      <c r="D147" t="s">
        <v>26</v>
      </c>
      <c r="E147" t="s">
        <v>18</v>
      </c>
      <c r="F147">
        <v>1</v>
      </c>
      <c r="G147">
        <v>46211.03</v>
      </c>
      <c r="H147">
        <v>4</v>
      </c>
      <c r="I147">
        <v>97</v>
      </c>
      <c r="J147" t="str">
        <f t="shared" si="8"/>
        <v>Low Cost</v>
      </c>
      <c r="K147" s="4" t="str">
        <f t="shared" si="9"/>
        <v>Infant/Toddler</v>
      </c>
    </row>
    <row r="148" spans="1:11" x14ac:dyDescent="0.2">
      <c r="A148" t="s">
        <v>173</v>
      </c>
      <c r="B148" t="s">
        <v>36</v>
      </c>
      <c r="C148" t="s">
        <v>11</v>
      </c>
      <c r="D148" t="s">
        <v>26</v>
      </c>
      <c r="E148" t="s">
        <v>18</v>
      </c>
      <c r="F148">
        <v>61</v>
      </c>
      <c r="G148">
        <v>32781.94</v>
      </c>
      <c r="H148">
        <v>1</v>
      </c>
      <c r="I148">
        <v>83</v>
      </c>
      <c r="J148" t="str">
        <f t="shared" si="8"/>
        <v>Low Cost</v>
      </c>
      <c r="K148" s="4" t="str">
        <f t="shared" si="9"/>
        <v>Senior/Elderly</v>
      </c>
    </row>
    <row r="149" spans="1:11" x14ac:dyDescent="0.2">
      <c r="A149" t="s">
        <v>174</v>
      </c>
      <c r="B149" t="s">
        <v>36</v>
      </c>
      <c r="C149" t="s">
        <v>16</v>
      </c>
      <c r="D149" t="s">
        <v>17</v>
      </c>
      <c r="E149" t="s">
        <v>29</v>
      </c>
      <c r="F149">
        <v>34</v>
      </c>
      <c r="G149">
        <v>139264.72</v>
      </c>
      <c r="H149">
        <v>14</v>
      </c>
      <c r="I149">
        <v>72</v>
      </c>
      <c r="J149" t="str">
        <f t="shared" si="8"/>
        <v>High Cost</v>
      </c>
      <c r="K149" s="4" t="str">
        <f t="shared" si="9"/>
        <v>Adult</v>
      </c>
    </row>
    <row r="150" spans="1:11" x14ac:dyDescent="0.2">
      <c r="A150" t="s">
        <v>175</v>
      </c>
      <c r="B150" t="s">
        <v>15</v>
      </c>
      <c r="C150" t="s">
        <v>11</v>
      </c>
      <c r="D150" t="s">
        <v>32</v>
      </c>
      <c r="E150" t="s">
        <v>13</v>
      </c>
      <c r="F150">
        <v>78</v>
      </c>
      <c r="G150">
        <v>15165.98</v>
      </c>
      <c r="H150">
        <v>25</v>
      </c>
      <c r="I150">
        <v>86</v>
      </c>
      <c r="J150" t="str">
        <f t="shared" si="8"/>
        <v>Low Cost</v>
      </c>
      <c r="K150" s="4" t="str">
        <f t="shared" si="9"/>
        <v>Senior/Elderly</v>
      </c>
    </row>
    <row r="151" spans="1:11" x14ac:dyDescent="0.2">
      <c r="A151" t="s">
        <v>176</v>
      </c>
      <c r="B151" t="s">
        <v>10</v>
      </c>
      <c r="C151" t="s">
        <v>28</v>
      </c>
      <c r="D151" t="s">
        <v>17</v>
      </c>
      <c r="E151" t="s">
        <v>18</v>
      </c>
      <c r="F151">
        <v>73</v>
      </c>
      <c r="G151">
        <v>133910.69</v>
      </c>
      <c r="H151">
        <v>22</v>
      </c>
      <c r="I151">
        <v>87</v>
      </c>
      <c r="J151" t="str">
        <f t="shared" si="8"/>
        <v>High Cost</v>
      </c>
      <c r="K151" s="4" t="str">
        <f t="shared" si="9"/>
        <v>Senior/Elderly</v>
      </c>
    </row>
    <row r="152" spans="1:11" x14ac:dyDescent="0.2">
      <c r="A152" t="s">
        <v>177</v>
      </c>
      <c r="B152" t="s">
        <v>25</v>
      </c>
      <c r="C152" t="s">
        <v>28</v>
      </c>
      <c r="D152" t="s">
        <v>12</v>
      </c>
      <c r="E152" t="s">
        <v>18</v>
      </c>
      <c r="F152">
        <v>8</v>
      </c>
      <c r="G152">
        <v>82835.539999999994</v>
      </c>
      <c r="H152">
        <v>24</v>
      </c>
      <c r="I152">
        <v>94</v>
      </c>
      <c r="J152" t="str">
        <f t="shared" si="8"/>
        <v>High Cost</v>
      </c>
      <c r="K152" s="4" t="str">
        <f t="shared" si="9"/>
        <v>Child</v>
      </c>
    </row>
    <row r="153" spans="1:11" x14ac:dyDescent="0.2">
      <c r="A153" t="s">
        <v>178</v>
      </c>
      <c r="B153" t="s">
        <v>10</v>
      </c>
      <c r="C153" t="s">
        <v>16</v>
      </c>
      <c r="D153" t="s">
        <v>32</v>
      </c>
      <c r="E153" t="s">
        <v>18</v>
      </c>
      <c r="F153">
        <v>16</v>
      </c>
      <c r="G153">
        <v>109945.06</v>
      </c>
      <c r="H153">
        <v>23</v>
      </c>
      <c r="I153">
        <v>76</v>
      </c>
      <c r="J153" t="str">
        <f t="shared" si="8"/>
        <v>High Cost</v>
      </c>
      <c r="K153" s="4" t="str">
        <f t="shared" si="9"/>
        <v>Teenager</v>
      </c>
    </row>
    <row r="154" spans="1:11" x14ac:dyDescent="0.2">
      <c r="A154" t="s">
        <v>179</v>
      </c>
      <c r="B154" t="s">
        <v>10</v>
      </c>
      <c r="C154" t="s">
        <v>16</v>
      </c>
      <c r="D154" t="s">
        <v>26</v>
      </c>
      <c r="E154" t="s">
        <v>29</v>
      </c>
      <c r="F154">
        <v>3</v>
      </c>
      <c r="G154">
        <v>40894.400000000001</v>
      </c>
      <c r="H154">
        <v>20</v>
      </c>
      <c r="I154">
        <v>46</v>
      </c>
      <c r="J154" t="str">
        <f t="shared" si="8"/>
        <v>Low Cost</v>
      </c>
      <c r="K154" s="4" t="str">
        <f t="shared" si="9"/>
        <v>Infant/Toddler</v>
      </c>
    </row>
    <row r="155" spans="1:11" x14ac:dyDescent="0.2">
      <c r="A155" t="s">
        <v>180</v>
      </c>
      <c r="B155" t="s">
        <v>10</v>
      </c>
      <c r="C155" t="s">
        <v>16</v>
      </c>
      <c r="D155" t="s">
        <v>26</v>
      </c>
      <c r="E155" t="s">
        <v>29</v>
      </c>
      <c r="F155">
        <v>28</v>
      </c>
      <c r="G155">
        <v>5522.04</v>
      </c>
      <c r="H155">
        <v>20</v>
      </c>
      <c r="I155">
        <v>95</v>
      </c>
      <c r="J155" t="str">
        <f t="shared" si="8"/>
        <v>Low Cost</v>
      </c>
      <c r="K155" s="4" t="str">
        <f t="shared" si="9"/>
        <v>Young Adult</v>
      </c>
    </row>
    <row r="156" spans="1:11" x14ac:dyDescent="0.2">
      <c r="A156" t="s">
        <v>181</v>
      </c>
      <c r="B156" t="s">
        <v>22</v>
      </c>
      <c r="C156" t="s">
        <v>41</v>
      </c>
      <c r="D156" t="s">
        <v>26</v>
      </c>
      <c r="E156" t="s">
        <v>18</v>
      </c>
      <c r="F156">
        <v>38</v>
      </c>
      <c r="G156">
        <v>121567.96</v>
      </c>
      <c r="H156">
        <v>26</v>
      </c>
      <c r="I156">
        <v>65</v>
      </c>
      <c r="J156" t="str">
        <f t="shared" si="8"/>
        <v>High Cost</v>
      </c>
      <c r="K156" s="4" t="str">
        <f t="shared" si="9"/>
        <v>Adult</v>
      </c>
    </row>
    <row r="157" spans="1:11" x14ac:dyDescent="0.2">
      <c r="A157" t="s">
        <v>182</v>
      </c>
      <c r="B157" t="s">
        <v>10</v>
      </c>
      <c r="C157" t="s">
        <v>41</v>
      </c>
      <c r="D157" t="s">
        <v>32</v>
      </c>
      <c r="E157" t="s">
        <v>13</v>
      </c>
      <c r="F157">
        <v>2</v>
      </c>
      <c r="G157">
        <v>14606.74</v>
      </c>
      <c r="H157">
        <v>30</v>
      </c>
      <c r="I157">
        <v>75</v>
      </c>
      <c r="J157" t="str">
        <f t="shared" si="8"/>
        <v>Low Cost</v>
      </c>
      <c r="K157" s="4" t="str">
        <f t="shared" si="9"/>
        <v>Infant/Toddler</v>
      </c>
    </row>
    <row r="158" spans="1:11" x14ac:dyDescent="0.2">
      <c r="A158" t="s">
        <v>183</v>
      </c>
      <c r="B158" t="s">
        <v>15</v>
      </c>
      <c r="C158" t="s">
        <v>28</v>
      </c>
      <c r="D158" t="s">
        <v>23</v>
      </c>
      <c r="E158" t="s">
        <v>18</v>
      </c>
      <c r="F158">
        <v>6</v>
      </c>
      <c r="G158">
        <v>116568.72</v>
      </c>
      <c r="H158">
        <v>24</v>
      </c>
      <c r="I158">
        <v>65</v>
      </c>
      <c r="J158" t="str">
        <f t="shared" si="8"/>
        <v>High Cost</v>
      </c>
      <c r="K158" s="4" t="str">
        <f t="shared" si="9"/>
        <v>Child</v>
      </c>
    </row>
    <row r="159" spans="1:11" x14ac:dyDescent="0.2">
      <c r="A159" t="s">
        <v>184</v>
      </c>
      <c r="B159" t="s">
        <v>25</v>
      </c>
      <c r="C159" t="s">
        <v>16</v>
      </c>
      <c r="D159" t="s">
        <v>32</v>
      </c>
      <c r="E159" t="s">
        <v>18</v>
      </c>
      <c r="F159">
        <v>33</v>
      </c>
      <c r="G159">
        <v>70189.8</v>
      </c>
      <c r="H159">
        <v>14</v>
      </c>
      <c r="I159">
        <v>88</v>
      </c>
      <c r="J159" t="str">
        <f t="shared" si="8"/>
        <v>Low Cost</v>
      </c>
      <c r="K159" s="4" t="str">
        <f t="shared" si="9"/>
        <v>Adult</v>
      </c>
    </row>
    <row r="160" spans="1:11" x14ac:dyDescent="0.2">
      <c r="A160" t="s">
        <v>185</v>
      </c>
      <c r="B160" t="s">
        <v>36</v>
      </c>
      <c r="C160" t="s">
        <v>16</v>
      </c>
      <c r="D160" t="s">
        <v>26</v>
      </c>
      <c r="E160" t="s">
        <v>29</v>
      </c>
      <c r="F160">
        <v>28</v>
      </c>
      <c r="G160">
        <v>136392.39000000001</v>
      </c>
      <c r="H160">
        <v>22</v>
      </c>
      <c r="I160">
        <v>77</v>
      </c>
      <c r="J160" t="str">
        <f t="shared" si="8"/>
        <v>High Cost</v>
      </c>
      <c r="K160" s="4" t="str">
        <f t="shared" si="9"/>
        <v>Young Adult</v>
      </c>
    </row>
    <row r="161" spans="1:11" x14ac:dyDescent="0.2">
      <c r="A161" t="s">
        <v>186</v>
      </c>
      <c r="B161" t="s">
        <v>36</v>
      </c>
      <c r="C161" t="s">
        <v>41</v>
      </c>
      <c r="D161" t="s">
        <v>26</v>
      </c>
      <c r="E161" t="s">
        <v>29</v>
      </c>
      <c r="F161">
        <v>56</v>
      </c>
      <c r="G161">
        <v>139281.34</v>
      </c>
      <c r="H161">
        <v>24</v>
      </c>
      <c r="I161">
        <v>96</v>
      </c>
      <c r="J161" t="str">
        <f t="shared" si="8"/>
        <v>High Cost</v>
      </c>
      <c r="K161" s="4" t="str">
        <f t="shared" si="9"/>
        <v>Middle aged</v>
      </c>
    </row>
    <row r="162" spans="1:11" x14ac:dyDescent="0.2">
      <c r="A162" t="s">
        <v>187</v>
      </c>
      <c r="B162" t="s">
        <v>15</v>
      </c>
      <c r="C162" t="s">
        <v>11</v>
      </c>
      <c r="D162" t="s">
        <v>26</v>
      </c>
      <c r="E162" t="s">
        <v>18</v>
      </c>
      <c r="F162">
        <v>80</v>
      </c>
      <c r="G162">
        <v>140818.37</v>
      </c>
      <c r="H162">
        <v>9</v>
      </c>
      <c r="I162">
        <v>42</v>
      </c>
      <c r="J162" t="str">
        <f t="shared" ref="J162:J193" si="10">IF(G162&gt;75000,"High Cost","Low Cost")</f>
        <v>High Cost</v>
      </c>
      <c r="K162" s="4" t="str">
        <f t="shared" ref="K162:K193" si="11">IF(F162&lt;=5,"Infant/Toddler",IF(F162&lt;=12,"Child",IF(F162&lt;=19,"Teenager",IF(F162&lt;=29,"Young Adult",IF(F162&lt;=44,"Adult",IF(F162&lt;=59,"Middle aged",IF(F162&lt;=90,"Senior/Elderly")))))))</f>
        <v>Senior/Elderly</v>
      </c>
    </row>
    <row r="163" spans="1:11" x14ac:dyDescent="0.2">
      <c r="A163" t="s">
        <v>188</v>
      </c>
      <c r="B163" t="s">
        <v>31</v>
      </c>
      <c r="C163" t="s">
        <v>41</v>
      </c>
      <c r="D163" t="s">
        <v>17</v>
      </c>
      <c r="E163" t="s">
        <v>18</v>
      </c>
      <c r="F163">
        <v>74</v>
      </c>
      <c r="G163">
        <v>56018.43</v>
      </c>
      <c r="H163">
        <v>7</v>
      </c>
      <c r="I163">
        <v>77</v>
      </c>
      <c r="J163" t="str">
        <f t="shared" si="10"/>
        <v>Low Cost</v>
      </c>
      <c r="K163" s="4" t="str">
        <f t="shared" si="11"/>
        <v>Senior/Elderly</v>
      </c>
    </row>
    <row r="164" spans="1:11" x14ac:dyDescent="0.2">
      <c r="A164" t="s">
        <v>189</v>
      </c>
      <c r="B164" t="s">
        <v>22</v>
      </c>
      <c r="C164" t="s">
        <v>41</v>
      </c>
      <c r="D164" t="s">
        <v>32</v>
      </c>
      <c r="E164" t="s">
        <v>29</v>
      </c>
      <c r="F164">
        <v>72</v>
      </c>
      <c r="G164">
        <v>144841.74</v>
      </c>
      <c r="H164">
        <v>5</v>
      </c>
      <c r="I164">
        <v>57</v>
      </c>
      <c r="J164" t="str">
        <f t="shared" si="10"/>
        <v>High Cost</v>
      </c>
      <c r="K164" s="4" t="str">
        <f t="shared" si="11"/>
        <v>Senior/Elderly</v>
      </c>
    </row>
    <row r="165" spans="1:11" x14ac:dyDescent="0.2">
      <c r="A165" t="s">
        <v>190</v>
      </c>
      <c r="B165" t="s">
        <v>31</v>
      </c>
      <c r="C165" t="s">
        <v>11</v>
      </c>
      <c r="D165" t="s">
        <v>23</v>
      </c>
      <c r="E165" t="s">
        <v>18</v>
      </c>
      <c r="F165">
        <v>14</v>
      </c>
      <c r="G165">
        <v>123398.79</v>
      </c>
      <c r="H165">
        <v>21</v>
      </c>
      <c r="I165">
        <v>77</v>
      </c>
      <c r="J165" t="str">
        <f t="shared" si="10"/>
        <v>High Cost</v>
      </c>
      <c r="K165" s="4" t="str">
        <f t="shared" si="11"/>
        <v>Teenager</v>
      </c>
    </row>
    <row r="166" spans="1:11" x14ac:dyDescent="0.2">
      <c r="A166" t="s">
        <v>191</v>
      </c>
      <c r="B166" t="s">
        <v>15</v>
      </c>
      <c r="C166" t="s">
        <v>41</v>
      </c>
      <c r="D166" t="s">
        <v>32</v>
      </c>
      <c r="E166" t="s">
        <v>18</v>
      </c>
      <c r="F166">
        <v>48</v>
      </c>
      <c r="G166">
        <v>10911.55</v>
      </c>
      <c r="H166">
        <v>19</v>
      </c>
      <c r="I166">
        <v>47</v>
      </c>
      <c r="J166" t="str">
        <f t="shared" si="10"/>
        <v>Low Cost</v>
      </c>
      <c r="K166" s="4" t="str">
        <f t="shared" si="11"/>
        <v>Middle aged</v>
      </c>
    </row>
    <row r="167" spans="1:11" x14ac:dyDescent="0.2">
      <c r="A167" t="s">
        <v>192</v>
      </c>
      <c r="B167" t="s">
        <v>36</v>
      </c>
      <c r="C167" t="s">
        <v>16</v>
      </c>
      <c r="D167" t="s">
        <v>32</v>
      </c>
      <c r="E167" t="s">
        <v>13</v>
      </c>
      <c r="F167">
        <v>87</v>
      </c>
      <c r="G167">
        <v>96532.96</v>
      </c>
      <c r="H167">
        <v>7</v>
      </c>
      <c r="I167">
        <v>93</v>
      </c>
      <c r="J167" t="str">
        <f t="shared" si="10"/>
        <v>High Cost</v>
      </c>
      <c r="K167" s="4" t="str">
        <f t="shared" si="11"/>
        <v>Senior/Elderly</v>
      </c>
    </row>
    <row r="168" spans="1:11" x14ac:dyDescent="0.2">
      <c r="A168" t="s">
        <v>193</v>
      </c>
      <c r="B168" t="s">
        <v>15</v>
      </c>
      <c r="C168" t="s">
        <v>41</v>
      </c>
      <c r="D168" t="s">
        <v>32</v>
      </c>
      <c r="E168" t="s">
        <v>29</v>
      </c>
      <c r="F168">
        <v>49</v>
      </c>
      <c r="G168">
        <v>126056.09</v>
      </c>
      <c r="H168">
        <v>11</v>
      </c>
      <c r="I168">
        <v>78</v>
      </c>
      <c r="J168" t="str">
        <f t="shared" si="10"/>
        <v>High Cost</v>
      </c>
      <c r="K168" s="4" t="str">
        <f t="shared" si="11"/>
        <v>Middle aged</v>
      </c>
    </row>
    <row r="169" spans="1:11" x14ac:dyDescent="0.2">
      <c r="A169" t="s">
        <v>194</v>
      </c>
      <c r="B169" t="s">
        <v>36</v>
      </c>
      <c r="C169" t="s">
        <v>41</v>
      </c>
      <c r="D169" t="s">
        <v>32</v>
      </c>
      <c r="E169" t="s">
        <v>29</v>
      </c>
      <c r="F169">
        <v>42</v>
      </c>
      <c r="G169">
        <v>92788.13</v>
      </c>
      <c r="H169">
        <v>4</v>
      </c>
      <c r="I169">
        <v>41</v>
      </c>
      <c r="J169" t="str">
        <f t="shared" si="10"/>
        <v>High Cost</v>
      </c>
      <c r="K169" s="4" t="str">
        <f t="shared" si="11"/>
        <v>Adult</v>
      </c>
    </row>
    <row r="170" spans="1:11" x14ac:dyDescent="0.2">
      <c r="A170" t="s">
        <v>195</v>
      </c>
      <c r="B170" t="s">
        <v>15</v>
      </c>
      <c r="C170" t="s">
        <v>11</v>
      </c>
      <c r="D170" t="s">
        <v>26</v>
      </c>
      <c r="E170" t="s">
        <v>18</v>
      </c>
      <c r="F170">
        <v>36</v>
      </c>
      <c r="G170">
        <v>24614.639999999999</v>
      </c>
      <c r="H170">
        <v>30</v>
      </c>
      <c r="I170">
        <v>57</v>
      </c>
      <c r="J170" t="str">
        <f t="shared" si="10"/>
        <v>Low Cost</v>
      </c>
      <c r="K170" s="4" t="str">
        <f t="shared" si="11"/>
        <v>Adult</v>
      </c>
    </row>
    <row r="171" spans="1:11" x14ac:dyDescent="0.2">
      <c r="A171" t="s">
        <v>196</v>
      </c>
      <c r="B171" t="s">
        <v>31</v>
      </c>
      <c r="C171" t="s">
        <v>11</v>
      </c>
      <c r="D171" t="s">
        <v>12</v>
      </c>
      <c r="E171" t="s">
        <v>29</v>
      </c>
      <c r="F171">
        <v>56</v>
      </c>
      <c r="G171">
        <v>36862.400000000001</v>
      </c>
      <c r="H171">
        <v>28</v>
      </c>
      <c r="I171">
        <v>66</v>
      </c>
      <c r="J171" t="str">
        <f t="shared" si="10"/>
        <v>Low Cost</v>
      </c>
      <c r="K171" s="4" t="str">
        <f t="shared" si="11"/>
        <v>Middle aged</v>
      </c>
    </row>
    <row r="172" spans="1:11" x14ac:dyDescent="0.2">
      <c r="A172" t="s">
        <v>197</v>
      </c>
      <c r="B172" t="s">
        <v>10</v>
      </c>
      <c r="C172" t="s">
        <v>16</v>
      </c>
      <c r="D172" t="s">
        <v>12</v>
      </c>
      <c r="E172" t="s">
        <v>18</v>
      </c>
      <c r="F172">
        <v>39</v>
      </c>
      <c r="G172">
        <v>84065.42</v>
      </c>
      <c r="H172">
        <v>28</v>
      </c>
      <c r="I172">
        <v>50</v>
      </c>
      <c r="J172" t="str">
        <f t="shared" si="10"/>
        <v>High Cost</v>
      </c>
      <c r="K172" s="4" t="str">
        <f t="shared" si="11"/>
        <v>Adult</v>
      </c>
    </row>
    <row r="173" spans="1:11" x14ac:dyDescent="0.2">
      <c r="A173" t="s">
        <v>198</v>
      </c>
      <c r="B173" t="s">
        <v>10</v>
      </c>
      <c r="C173" t="s">
        <v>41</v>
      </c>
      <c r="D173" t="s">
        <v>12</v>
      </c>
      <c r="E173" t="s">
        <v>29</v>
      </c>
      <c r="F173">
        <v>42</v>
      </c>
      <c r="G173">
        <v>83047.11</v>
      </c>
      <c r="H173">
        <v>13</v>
      </c>
      <c r="I173">
        <v>50</v>
      </c>
      <c r="J173" t="str">
        <f t="shared" si="10"/>
        <v>High Cost</v>
      </c>
      <c r="K173" s="4" t="str">
        <f t="shared" si="11"/>
        <v>Adult</v>
      </c>
    </row>
    <row r="174" spans="1:11" x14ac:dyDescent="0.2">
      <c r="A174" t="s">
        <v>199</v>
      </c>
      <c r="B174" t="s">
        <v>10</v>
      </c>
      <c r="C174" t="s">
        <v>11</v>
      </c>
      <c r="D174" t="s">
        <v>26</v>
      </c>
      <c r="E174" t="s">
        <v>29</v>
      </c>
      <c r="F174">
        <v>59</v>
      </c>
      <c r="G174">
        <v>96326.11</v>
      </c>
      <c r="H174">
        <v>17</v>
      </c>
      <c r="I174">
        <v>82</v>
      </c>
      <c r="J174" t="str">
        <f t="shared" si="10"/>
        <v>High Cost</v>
      </c>
      <c r="K174" s="4" t="str">
        <f t="shared" si="11"/>
        <v>Middle aged</v>
      </c>
    </row>
    <row r="175" spans="1:11" x14ac:dyDescent="0.2">
      <c r="A175" t="s">
        <v>200</v>
      </c>
      <c r="B175" t="s">
        <v>36</v>
      </c>
      <c r="C175" t="s">
        <v>41</v>
      </c>
      <c r="D175" t="s">
        <v>12</v>
      </c>
      <c r="E175" t="s">
        <v>18</v>
      </c>
      <c r="F175">
        <v>67</v>
      </c>
      <c r="G175">
        <v>49487.73</v>
      </c>
      <c r="H175">
        <v>27</v>
      </c>
      <c r="I175">
        <v>72</v>
      </c>
      <c r="J175" t="str">
        <f t="shared" si="10"/>
        <v>Low Cost</v>
      </c>
      <c r="K175" s="4" t="str">
        <f t="shared" si="11"/>
        <v>Senior/Elderly</v>
      </c>
    </row>
    <row r="176" spans="1:11" x14ac:dyDescent="0.2">
      <c r="A176" t="s">
        <v>201</v>
      </c>
      <c r="B176" t="s">
        <v>10</v>
      </c>
      <c r="C176" t="s">
        <v>41</v>
      </c>
      <c r="D176" t="s">
        <v>17</v>
      </c>
      <c r="E176" t="s">
        <v>18</v>
      </c>
      <c r="F176">
        <v>11</v>
      </c>
      <c r="G176">
        <v>18263.25</v>
      </c>
      <c r="H176">
        <v>29</v>
      </c>
      <c r="I176">
        <v>83</v>
      </c>
      <c r="J176" t="str">
        <f t="shared" si="10"/>
        <v>Low Cost</v>
      </c>
      <c r="K176" s="4" t="str">
        <f t="shared" si="11"/>
        <v>Child</v>
      </c>
    </row>
    <row r="177" spans="1:11" x14ac:dyDescent="0.2">
      <c r="A177" t="s">
        <v>202</v>
      </c>
      <c r="B177" t="s">
        <v>31</v>
      </c>
      <c r="C177" t="s">
        <v>28</v>
      </c>
      <c r="D177" t="s">
        <v>12</v>
      </c>
      <c r="E177" t="s">
        <v>13</v>
      </c>
      <c r="F177">
        <v>3</v>
      </c>
      <c r="G177">
        <v>149013.84</v>
      </c>
      <c r="H177">
        <v>26</v>
      </c>
      <c r="I177">
        <v>93</v>
      </c>
      <c r="J177" t="str">
        <f t="shared" si="10"/>
        <v>High Cost</v>
      </c>
      <c r="K177" s="4" t="str">
        <f t="shared" si="11"/>
        <v>Infant/Toddler</v>
      </c>
    </row>
    <row r="178" spans="1:11" x14ac:dyDescent="0.2">
      <c r="A178" t="s">
        <v>203</v>
      </c>
      <c r="B178" t="s">
        <v>22</v>
      </c>
      <c r="C178" t="s">
        <v>16</v>
      </c>
      <c r="D178" t="s">
        <v>26</v>
      </c>
      <c r="E178" t="s">
        <v>29</v>
      </c>
      <c r="F178">
        <v>69</v>
      </c>
      <c r="G178">
        <v>46708.35</v>
      </c>
      <c r="H178">
        <v>1</v>
      </c>
      <c r="I178">
        <v>88</v>
      </c>
      <c r="J178" t="str">
        <f t="shared" si="10"/>
        <v>Low Cost</v>
      </c>
      <c r="K178" s="4" t="str">
        <f t="shared" si="11"/>
        <v>Senior/Elderly</v>
      </c>
    </row>
    <row r="179" spans="1:11" x14ac:dyDescent="0.2">
      <c r="A179" t="s">
        <v>204</v>
      </c>
      <c r="B179" t="s">
        <v>25</v>
      </c>
      <c r="C179" t="s">
        <v>11</v>
      </c>
      <c r="D179" t="s">
        <v>17</v>
      </c>
      <c r="E179" t="s">
        <v>18</v>
      </c>
      <c r="F179">
        <v>54</v>
      </c>
      <c r="G179">
        <v>68133.7</v>
      </c>
      <c r="H179">
        <v>9</v>
      </c>
      <c r="I179">
        <v>60</v>
      </c>
      <c r="J179" t="str">
        <f t="shared" si="10"/>
        <v>Low Cost</v>
      </c>
      <c r="K179" s="4" t="str">
        <f t="shared" si="11"/>
        <v>Middle aged</v>
      </c>
    </row>
    <row r="180" spans="1:11" x14ac:dyDescent="0.2">
      <c r="A180" t="s">
        <v>205</v>
      </c>
      <c r="B180" t="s">
        <v>36</v>
      </c>
      <c r="C180" t="s">
        <v>28</v>
      </c>
      <c r="D180" t="s">
        <v>12</v>
      </c>
      <c r="E180" t="s">
        <v>18</v>
      </c>
      <c r="F180">
        <v>82</v>
      </c>
      <c r="G180">
        <v>19213.509999999998</v>
      </c>
      <c r="H180">
        <v>26</v>
      </c>
      <c r="I180">
        <v>96</v>
      </c>
      <c r="J180" t="str">
        <f t="shared" si="10"/>
        <v>Low Cost</v>
      </c>
      <c r="K180" s="4" t="str">
        <f t="shared" si="11"/>
        <v>Senior/Elderly</v>
      </c>
    </row>
    <row r="181" spans="1:11" x14ac:dyDescent="0.2">
      <c r="A181" t="s">
        <v>206</v>
      </c>
      <c r="B181" t="s">
        <v>25</v>
      </c>
      <c r="C181" t="s">
        <v>41</v>
      </c>
      <c r="D181" t="s">
        <v>26</v>
      </c>
      <c r="E181" t="s">
        <v>18</v>
      </c>
      <c r="F181">
        <v>60</v>
      </c>
      <c r="G181">
        <v>22138.22</v>
      </c>
      <c r="H181">
        <v>3</v>
      </c>
      <c r="I181">
        <v>96</v>
      </c>
      <c r="J181" t="str">
        <f t="shared" si="10"/>
        <v>Low Cost</v>
      </c>
      <c r="K181" s="4" t="str">
        <f t="shared" si="11"/>
        <v>Senior/Elderly</v>
      </c>
    </row>
    <row r="182" spans="1:11" x14ac:dyDescent="0.2">
      <c r="A182" t="s">
        <v>207</v>
      </c>
      <c r="B182" t="s">
        <v>22</v>
      </c>
      <c r="C182" t="s">
        <v>16</v>
      </c>
      <c r="D182" t="s">
        <v>17</v>
      </c>
      <c r="E182" t="s">
        <v>18</v>
      </c>
      <c r="F182">
        <v>65</v>
      </c>
      <c r="G182">
        <v>30460.26</v>
      </c>
      <c r="H182">
        <v>21</v>
      </c>
      <c r="I182">
        <v>63</v>
      </c>
      <c r="J182" t="str">
        <f t="shared" si="10"/>
        <v>Low Cost</v>
      </c>
      <c r="K182" s="4" t="str">
        <f t="shared" si="11"/>
        <v>Senior/Elderly</v>
      </c>
    </row>
    <row r="183" spans="1:11" x14ac:dyDescent="0.2">
      <c r="A183" t="s">
        <v>208</v>
      </c>
      <c r="B183" t="s">
        <v>15</v>
      </c>
      <c r="C183" t="s">
        <v>28</v>
      </c>
      <c r="D183" t="s">
        <v>23</v>
      </c>
      <c r="E183" t="s">
        <v>18</v>
      </c>
      <c r="F183">
        <v>5</v>
      </c>
      <c r="G183">
        <v>52772.62</v>
      </c>
      <c r="H183">
        <v>9</v>
      </c>
      <c r="I183">
        <v>62</v>
      </c>
      <c r="J183" t="str">
        <f t="shared" si="10"/>
        <v>Low Cost</v>
      </c>
      <c r="K183" s="4" t="str">
        <f t="shared" si="11"/>
        <v>Infant/Toddler</v>
      </c>
    </row>
    <row r="184" spans="1:11" x14ac:dyDescent="0.2">
      <c r="A184" t="s">
        <v>209</v>
      </c>
      <c r="B184" t="s">
        <v>22</v>
      </c>
      <c r="C184" t="s">
        <v>28</v>
      </c>
      <c r="D184" t="s">
        <v>17</v>
      </c>
      <c r="E184" t="s">
        <v>18</v>
      </c>
      <c r="F184">
        <v>54</v>
      </c>
      <c r="G184">
        <v>118241.71</v>
      </c>
      <c r="H184">
        <v>24</v>
      </c>
      <c r="I184">
        <v>81</v>
      </c>
      <c r="J184" t="str">
        <f t="shared" si="10"/>
        <v>High Cost</v>
      </c>
      <c r="K184" s="4" t="str">
        <f t="shared" si="11"/>
        <v>Middle aged</v>
      </c>
    </row>
    <row r="185" spans="1:11" x14ac:dyDescent="0.2">
      <c r="A185" t="s">
        <v>210</v>
      </c>
      <c r="B185" t="s">
        <v>10</v>
      </c>
      <c r="C185" t="s">
        <v>16</v>
      </c>
      <c r="D185" t="s">
        <v>32</v>
      </c>
      <c r="E185" t="s">
        <v>18</v>
      </c>
      <c r="F185">
        <v>64</v>
      </c>
      <c r="G185">
        <v>19477.689999999999</v>
      </c>
      <c r="H185">
        <v>6</v>
      </c>
      <c r="I185">
        <v>65</v>
      </c>
      <c r="J185" t="str">
        <f t="shared" si="10"/>
        <v>Low Cost</v>
      </c>
      <c r="K185" s="4" t="str">
        <f t="shared" si="11"/>
        <v>Senior/Elderly</v>
      </c>
    </row>
    <row r="186" spans="1:11" x14ac:dyDescent="0.2">
      <c r="A186" t="s">
        <v>211</v>
      </c>
      <c r="B186" t="s">
        <v>36</v>
      </c>
      <c r="C186" t="s">
        <v>28</v>
      </c>
      <c r="D186" t="s">
        <v>23</v>
      </c>
      <c r="E186" t="s">
        <v>13</v>
      </c>
      <c r="F186">
        <v>77</v>
      </c>
      <c r="G186">
        <v>114541.22</v>
      </c>
      <c r="H186">
        <v>25</v>
      </c>
      <c r="I186">
        <v>69</v>
      </c>
      <c r="J186" t="str">
        <f t="shared" si="10"/>
        <v>High Cost</v>
      </c>
      <c r="K186" s="4" t="str">
        <f t="shared" si="11"/>
        <v>Senior/Elderly</v>
      </c>
    </row>
    <row r="187" spans="1:11" x14ac:dyDescent="0.2">
      <c r="A187" t="s">
        <v>212</v>
      </c>
      <c r="B187" t="s">
        <v>36</v>
      </c>
      <c r="C187" t="s">
        <v>11</v>
      </c>
      <c r="D187" t="s">
        <v>26</v>
      </c>
      <c r="E187" t="s">
        <v>13</v>
      </c>
      <c r="F187">
        <v>72</v>
      </c>
      <c r="G187">
        <v>56437.97</v>
      </c>
      <c r="H187">
        <v>21</v>
      </c>
      <c r="I187">
        <v>78</v>
      </c>
      <c r="J187" t="str">
        <f t="shared" si="10"/>
        <v>Low Cost</v>
      </c>
      <c r="K187" s="4" t="str">
        <f t="shared" si="11"/>
        <v>Senior/Elderly</v>
      </c>
    </row>
    <row r="188" spans="1:11" x14ac:dyDescent="0.2">
      <c r="A188" t="s">
        <v>213</v>
      </c>
      <c r="B188" t="s">
        <v>31</v>
      </c>
      <c r="C188" t="s">
        <v>16</v>
      </c>
      <c r="D188" t="s">
        <v>17</v>
      </c>
      <c r="E188" t="s">
        <v>18</v>
      </c>
      <c r="F188">
        <v>86</v>
      </c>
      <c r="G188">
        <v>53586.34</v>
      </c>
      <c r="H188">
        <v>22</v>
      </c>
      <c r="I188">
        <v>96</v>
      </c>
      <c r="J188" t="str">
        <f t="shared" si="10"/>
        <v>Low Cost</v>
      </c>
      <c r="K188" s="4" t="str">
        <f t="shared" si="11"/>
        <v>Senior/Elderly</v>
      </c>
    </row>
    <row r="189" spans="1:11" x14ac:dyDescent="0.2">
      <c r="A189" t="s">
        <v>214</v>
      </c>
      <c r="B189" t="s">
        <v>10</v>
      </c>
      <c r="C189" t="s">
        <v>41</v>
      </c>
      <c r="D189" t="s">
        <v>17</v>
      </c>
      <c r="E189" t="s">
        <v>13</v>
      </c>
      <c r="F189">
        <v>62</v>
      </c>
      <c r="G189">
        <v>13836.03</v>
      </c>
      <c r="H189">
        <v>15</v>
      </c>
      <c r="I189">
        <v>60</v>
      </c>
      <c r="J189" t="str">
        <f t="shared" si="10"/>
        <v>Low Cost</v>
      </c>
      <c r="K189" s="4" t="str">
        <f t="shared" si="11"/>
        <v>Senior/Elderly</v>
      </c>
    </row>
    <row r="190" spans="1:11" x14ac:dyDescent="0.2">
      <c r="A190" t="s">
        <v>215</v>
      </c>
      <c r="B190" t="s">
        <v>15</v>
      </c>
      <c r="C190" t="s">
        <v>28</v>
      </c>
      <c r="D190" t="s">
        <v>23</v>
      </c>
      <c r="E190" t="s">
        <v>18</v>
      </c>
      <c r="F190">
        <v>38</v>
      </c>
      <c r="G190">
        <v>54960.36</v>
      </c>
      <c r="H190">
        <v>26</v>
      </c>
      <c r="I190">
        <v>61</v>
      </c>
      <c r="J190" t="str">
        <f t="shared" si="10"/>
        <v>Low Cost</v>
      </c>
      <c r="K190" s="4" t="str">
        <f t="shared" si="11"/>
        <v>Adult</v>
      </c>
    </row>
    <row r="191" spans="1:11" x14ac:dyDescent="0.2">
      <c r="A191" t="s">
        <v>216</v>
      </c>
      <c r="B191" t="s">
        <v>15</v>
      </c>
      <c r="C191" t="s">
        <v>16</v>
      </c>
      <c r="D191" t="s">
        <v>32</v>
      </c>
      <c r="E191" t="s">
        <v>13</v>
      </c>
      <c r="F191">
        <v>70</v>
      </c>
      <c r="G191">
        <v>92629.07</v>
      </c>
      <c r="H191">
        <v>11</v>
      </c>
      <c r="I191">
        <v>96</v>
      </c>
      <c r="J191" t="str">
        <f t="shared" si="10"/>
        <v>High Cost</v>
      </c>
      <c r="K191" s="4" t="str">
        <f t="shared" si="11"/>
        <v>Senior/Elderly</v>
      </c>
    </row>
    <row r="192" spans="1:11" x14ac:dyDescent="0.2">
      <c r="A192" t="s">
        <v>217</v>
      </c>
      <c r="B192" t="s">
        <v>25</v>
      </c>
      <c r="C192" t="s">
        <v>41</v>
      </c>
      <c r="D192" t="s">
        <v>32</v>
      </c>
      <c r="E192" t="s">
        <v>29</v>
      </c>
      <c r="F192">
        <v>52</v>
      </c>
      <c r="G192">
        <v>69945.08</v>
      </c>
      <c r="H192">
        <v>8</v>
      </c>
      <c r="I192">
        <v>80</v>
      </c>
      <c r="J192" t="str">
        <f t="shared" si="10"/>
        <v>Low Cost</v>
      </c>
      <c r="K192" s="4" t="str">
        <f t="shared" si="11"/>
        <v>Middle aged</v>
      </c>
    </row>
    <row r="193" spans="1:11" x14ac:dyDescent="0.2">
      <c r="A193" t="s">
        <v>218</v>
      </c>
      <c r="B193" t="s">
        <v>22</v>
      </c>
      <c r="C193" t="s">
        <v>16</v>
      </c>
      <c r="D193" t="s">
        <v>12</v>
      </c>
      <c r="E193" t="s">
        <v>13</v>
      </c>
      <c r="F193">
        <v>62</v>
      </c>
      <c r="G193">
        <v>132120.79</v>
      </c>
      <c r="H193">
        <v>25</v>
      </c>
      <c r="I193">
        <v>81</v>
      </c>
      <c r="J193" t="str">
        <f t="shared" si="10"/>
        <v>High Cost</v>
      </c>
      <c r="K193" s="4" t="str">
        <f t="shared" si="11"/>
        <v>Senior/Elderly</v>
      </c>
    </row>
    <row r="194" spans="1:11" x14ac:dyDescent="0.2">
      <c r="A194" t="s">
        <v>219</v>
      </c>
      <c r="B194" t="s">
        <v>22</v>
      </c>
      <c r="C194" t="s">
        <v>16</v>
      </c>
      <c r="D194" t="s">
        <v>26</v>
      </c>
      <c r="E194" t="s">
        <v>18</v>
      </c>
      <c r="F194">
        <v>22</v>
      </c>
      <c r="G194">
        <v>132726.88</v>
      </c>
      <c r="H194">
        <v>24</v>
      </c>
      <c r="I194">
        <v>54</v>
      </c>
      <c r="J194" t="str">
        <f t="shared" ref="J194:J201" si="12">IF(G194&gt;75000,"High Cost","Low Cost")</f>
        <v>High Cost</v>
      </c>
      <c r="K194" s="4" t="str">
        <f t="shared" ref="K194:K201" si="13">IF(F194&lt;=5,"Infant/Toddler",IF(F194&lt;=12,"Child",IF(F194&lt;=19,"Teenager",IF(F194&lt;=29,"Young Adult",IF(F194&lt;=44,"Adult",IF(F194&lt;=59,"Middle aged",IF(F194&lt;=90,"Senior/Elderly")))))))</f>
        <v>Young Adult</v>
      </c>
    </row>
    <row r="195" spans="1:11" x14ac:dyDescent="0.2">
      <c r="A195" t="s">
        <v>220</v>
      </c>
      <c r="B195" t="s">
        <v>10</v>
      </c>
      <c r="C195" t="s">
        <v>16</v>
      </c>
      <c r="D195" t="s">
        <v>17</v>
      </c>
      <c r="E195" t="s">
        <v>29</v>
      </c>
      <c r="F195">
        <v>70</v>
      </c>
      <c r="G195">
        <v>40806.769999999997</v>
      </c>
      <c r="H195">
        <v>1</v>
      </c>
      <c r="I195">
        <v>51</v>
      </c>
      <c r="J195" t="str">
        <f t="shared" si="12"/>
        <v>Low Cost</v>
      </c>
      <c r="K195" s="4" t="str">
        <f t="shared" si="13"/>
        <v>Senior/Elderly</v>
      </c>
    </row>
    <row r="196" spans="1:11" x14ac:dyDescent="0.2">
      <c r="A196" t="s">
        <v>221</v>
      </c>
      <c r="B196" t="s">
        <v>25</v>
      </c>
      <c r="C196" t="s">
        <v>41</v>
      </c>
      <c r="D196" t="s">
        <v>32</v>
      </c>
      <c r="E196" t="s">
        <v>13</v>
      </c>
      <c r="F196">
        <v>33</v>
      </c>
      <c r="G196">
        <v>56926.38</v>
      </c>
      <c r="H196">
        <v>11</v>
      </c>
      <c r="I196">
        <v>81</v>
      </c>
      <c r="J196" t="str">
        <f t="shared" si="12"/>
        <v>Low Cost</v>
      </c>
      <c r="K196" s="4" t="str">
        <f t="shared" si="13"/>
        <v>Adult</v>
      </c>
    </row>
    <row r="197" spans="1:11" x14ac:dyDescent="0.2">
      <c r="A197" t="s">
        <v>222</v>
      </c>
      <c r="B197" t="s">
        <v>22</v>
      </c>
      <c r="C197" t="s">
        <v>16</v>
      </c>
      <c r="D197" t="s">
        <v>32</v>
      </c>
      <c r="E197" t="s">
        <v>29</v>
      </c>
      <c r="F197">
        <v>1</v>
      </c>
      <c r="G197">
        <v>87386.12</v>
      </c>
      <c r="H197">
        <v>14</v>
      </c>
      <c r="I197">
        <v>63</v>
      </c>
      <c r="J197" t="str">
        <f t="shared" si="12"/>
        <v>High Cost</v>
      </c>
      <c r="K197" s="4" t="str">
        <f t="shared" si="13"/>
        <v>Infant/Toddler</v>
      </c>
    </row>
    <row r="198" spans="1:11" x14ac:dyDescent="0.2">
      <c r="A198" t="s">
        <v>223</v>
      </c>
      <c r="B198" t="s">
        <v>22</v>
      </c>
      <c r="C198" t="s">
        <v>28</v>
      </c>
      <c r="D198" t="s">
        <v>12</v>
      </c>
      <c r="E198" t="s">
        <v>13</v>
      </c>
      <c r="F198">
        <v>8</v>
      </c>
      <c r="G198">
        <v>7805.22</v>
      </c>
      <c r="H198">
        <v>13</v>
      </c>
      <c r="I198">
        <v>91</v>
      </c>
      <c r="J198" t="str">
        <f t="shared" si="12"/>
        <v>Low Cost</v>
      </c>
      <c r="K198" s="4" t="str">
        <f t="shared" si="13"/>
        <v>Child</v>
      </c>
    </row>
    <row r="199" spans="1:11" x14ac:dyDescent="0.2">
      <c r="A199" t="s">
        <v>224</v>
      </c>
      <c r="B199" t="s">
        <v>22</v>
      </c>
      <c r="C199" t="s">
        <v>11</v>
      </c>
      <c r="D199" t="s">
        <v>17</v>
      </c>
      <c r="E199" t="s">
        <v>18</v>
      </c>
      <c r="F199">
        <v>90</v>
      </c>
      <c r="G199">
        <v>64936.83</v>
      </c>
      <c r="H199">
        <v>23</v>
      </c>
      <c r="I199">
        <v>51</v>
      </c>
      <c r="J199" t="str">
        <f t="shared" si="12"/>
        <v>Low Cost</v>
      </c>
      <c r="K199" s="4" t="str">
        <f t="shared" si="13"/>
        <v>Senior/Elderly</v>
      </c>
    </row>
    <row r="200" spans="1:11" x14ac:dyDescent="0.2">
      <c r="A200" t="s">
        <v>225</v>
      </c>
      <c r="B200" t="s">
        <v>36</v>
      </c>
      <c r="C200" t="s">
        <v>41</v>
      </c>
      <c r="D200" t="s">
        <v>32</v>
      </c>
      <c r="E200" t="s">
        <v>13</v>
      </c>
      <c r="F200">
        <v>21</v>
      </c>
      <c r="G200">
        <v>57025.03</v>
      </c>
      <c r="H200">
        <v>18</v>
      </c>
      <c r="I200">
        <v>50</v>
      </c>
      <c r="J200" t="str">
        <f t="shared" si="12"/>
        <v>Low Cost</v>
      </c>
      <c r="K200" s="4" t="str">
        <f t="shared" si="13"/>
        <v>Young Adult</v>
      </c>
    </row>
    <row r="201" spans="1:11" x14ac:dyDescent="0.2">
      <c r="A201" t="s">
        <v>226</v>
      </c>
      <c r="B201" t="s">
        <v>36</v>
      </c>
      <c r="C201" t="s">
        <v>41</v>
      </c>
      <c r="D201" t="s">
        <v>23</v>
      </c>
      <c r="E201" t="s">
        <v>13</v>
      </c>
      <c r="F201">
        <v>39</v>
      </c>
      <c r="G201">
        <v>145631.91</v>
      </c>
      <c r="H201">
        <v>6</v>
      </c>
      <c r="I201">
        <v>49</v>
      </c>
      <c r="J201" t="str">
        <f t="shared" si="12"/>
        <v>High Cost</v>
      </c>
      <c r="K201" s="4" t="str">
        <f t="shared" si="13"/>
        <v>Adult</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hospital_patient_treatment_data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singh</dc:creator>
  <cp:lastModifiedBy>shreya singh</cp:lastModifiedBy>
  <dcterms:created xsi:type="dcterms:W3CDTF">2026-05-23T02:43:34Z</dcterms:created>
  <dcterms:modified xsi:type="dcterms:W3CDTF">2026-05-24T11:16:58Z</dcterms:modified>
</cp:coreProperties>
</file>